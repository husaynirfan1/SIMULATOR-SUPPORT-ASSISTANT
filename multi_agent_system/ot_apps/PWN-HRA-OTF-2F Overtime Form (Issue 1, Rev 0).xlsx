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y Drive\PWN-Forms\HRA\"/>
    </mc:Choice>
  </mc:AlternateContent>
  <xr:revisionPtr revIDLastSave="0" documentId="8_{1AF0C8DC-B43C-420B-BFE1-09235B81E9ED}" xr6:coauthVersionLast="47" xr6:coauthVersionMax="47" xr10:uidLastSave="{00000000-0000-0000-0000-000000000000}"/>
  <workbookProtection workbookAlgorithmName="SHA-512" workbookHashValue="hj8FQ0cXwqQ+SzC1N4JMJrgFFaoVU164s00FtlYukrxJE05QK8HtfFp5WmiYs3ZPzCabAHaTfCyqurV8SOcQUg==" workbookSaltValue="Az0rX1ud3ARJhgSLT8cCuw==" workbookSpinCount="100000" lockStructure="1"/>
  <bookViews>
    <workbookView xWindow="-120" yWindow="-120" windowWidth="20730" windowHeight="11160" xr2:uid="{00000000-000D-0000-FFFF-FFFF00000000}"/>
  </bookViews>
  <sheets>
    <sheet name="OT Form (Type)" sheetId="1" r:id="rId1"/>
    <sheet name="OT Form (Write)" sheetId="2" r:id="rId2"/>
    <sheet name="Keyword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icOP/MktHnXVEY8mqm8T0iO+EHA=="/>
    </ext>
  </extLst>
</workbook>
</file>

<file path=xl/calcChain.xml><?xml version="1.0" encoding="utf-8"?>
<calcChain xmlns="http://schemas.openxmlformats.org/spreadsheetml/2006/main">
  <c r="A12" i="1" l="1"/>
  <c r="E12" i="1" s="1"/>
  <c r="A13" i="1"/>
  <c r="E13" i="1" s="1"/>
  <c r="A14" i="1"/>
  <c r="E14" i="1" s="1"/>
  <c r="A15" i="1"/>
  <c r="E15" i="1" s="1"/>
  <c r="A16" i="1"/>
  <c r="E16" i="1" s="1"/>
  <c r="A17" i="1"/>
  <c r="E17" i="1" s="1"/>
  <c r="A18" i="1"/>
  <c r="E18" i="1" s="1"/>
  <c r="A19" i="1"/>
  <c r="E19" i="1" s="1"/>
  <c r="A20" i="1"/>
  <c r="E20" i="1" s="1"/>
  <c r="A21" i="1"/>
  <c r="E21" i="1" s="1"/>
  <c r="A22" i="1"/>
  <c r="E22" i="1" s="1"/>
  <c r="A23" i="1"/>
  <c r="E23" i="1" s="1"/>
  <c r="A24" i="1"/>
  <c r="E24" i="1" s="1"/>
  <c r="A25" i="1"/>
  <c r="E25" i="1" s="1"/>
  <c r="A26" i="1"/>
  <c r="E26" i="1" s="1"/>
  <c r="A27" i="1"/>
  <c r="E27" i="1" s="1"/>
  <c r="A28" i="1"/>
  <c r="E28" i="1" s="1"/>
  <c r="A29" i="1"/>
  <c r="E29" i="1" s="1"/>
  <c r="A30" i="1"/>
  <c r="E30" i="1" s="1"/>
  <c r="A31" i="1"/>
  <c r="E31" i="1" s="1"/>
  <c r="A32" i="1"/>
  <c r="E32" i="1" s="1"/>
  <c r="A33" i="1"/>
  <c r="E33" i="1" s="1"/>
  <c r="A34" i="1"/>
  <c r="E34" i="1" s="1"/>
  <c r="A35" i="1"/>
  <c r="E35" i="1" s="1"/>
  <c r="A36" i="1"/>
  <c r="E36" i="1" s="1"/>
  <c r="A37" i="1"/>
  <c r="E37" i="1" s="1"/>
  <c r="A38" i="1"/>
  <c r="E38" i="1" s="1"/>
  <c r="A39" i="1"/>
  <c r="E39" i="1" s="1"/>
  <c r="A40" i="1"/>
  <c r="E40" i="1" s="1"/>
  <c r="A41" i="1"/>
  <c r="E41" i="1" s="1"/>
  <c r="A11" i="1"/>
  <c r="E11" i="1" s="1"/>
  <c r="AA12" i="1" l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11" i="1" l="1"/>
  <c r="F4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42" i="1" l="1"/>
</calcChain>
</file>

<file path=xl/sharedStrings.xml><?xml version="1.0" encoding="utf-8"?>
<sst xmlns="http://schemas.openxmlformats.org/spreadsheetml/2006/main" count="97" uniqueCount="51">
  <si>
    <t>OVERTIME FORM</t>
  </si>
  <si>
    <t>PWN-HRA-OTF-2F</t>
  </si>
  <si>
    <t>Issue 1, Revision 0, Revision Date: 31 Mar 2023</t>
  </si>
  <si>
    <t>Name</t>
  </si>
  <si>
    <t>Muhammad Husayn Irfan bin Mohammad Noor</t>
  </si>
  <si>
    <t>Month / Year</t>
  </si>
  <si>
    <t>Grade</t>
  </si>
  <si>
    <t>E4</t>
  </si>
  <si>
    <t>Designation</t>
  </si>
  <si>
    <t>Simulator Support Engineer</t>
  </si>
  <si>
    <t>Department</t>
  </si>
  <si>
    <t>Technical</t>
  </si>
  <si>
    <t>Date</t>
  </si>
  <si>
    <t>Start Time</t>
  </si>
  <si>
    <t>End Time</t>
  </si>
  <si>
    <t>Work Schedule</t>
  </si>
  <si>
    <t>Day</t>
  </si>
  <si>
    <t xml:space="preserve">Total 
Hours </t>
  </si>
  <si>
    <t>Reasons for Overtime</t>
  </si>
  <si>
    <t>FOR HRA USE</t>
  </si>
  <si>
    <t>Use format
dd-mmm-yy</t>
  </si>
  <si>
    <t>Use format
hh:mm</t>
  </si>
  <si>
    <t>Select from dropdown list</t>
  </si>
  <si>
    <t>Specify the task/reason that require you to do work outside normal working hours.</t>
  </si>
  <si>
    <t>Rest Day</t>
  </si>
  <si>
    <t>Replace Luqman</t>
  </si>
  <si>
    <t>Replace Haziq</t>
  </si>
  <si>
    <t>TOTAL</t>
  </si>
  <si>
    <t>-</t>
  </si>
  <si>
    <t>Notes:</t>
  </si>
  <si>
    <t>1) Overtime is to be submitted by 3rd of the following month or any of the following working day should the 3rd falls on a non-working day</t>
  </si>
  <si>
    <t>2) Overtime form shall be submitted to the HoD and HR &amp; Admin for verification and/or approval at the end of the month.</t>
  </si>
  <si>
    <r>
      <t xml:space="preserve">3) Only approved overtime will be processed.  </t>
    </r>
    <r>
      <rPr>
        <b/>
        <sz val="8"/>
        <color theme="1"/>
        <rFont val="Arial"/>
        <family val="2"/>
      </rPr>
      <t>All overtime claims shall be valid for a period of 2 months only.</t>
    </r>
  </si>
  <si>
    <t>4) Use one form for one month only. If you have overtime to submit for two different months, please submit two different forms.</t>
  </si>
  <si>
    <t>Claimed by:</t>
  </si>
  <si>
    <t>Reviewed by (HOD):</t>
  </si>
  <si>
    <t>Verified by (HR &amp; Admin):</t>
  </si>
  <si>
    <t>Approved by (CEO):</t>
  </si>
  <si>
    <t>Name:</t>
  </si>
  <si>
    <t>Muhammad Husayn Irfan</t>
  </si>
  <si>
    <t>Name: Hazlee Jehan</t>
  </si>
  <si>
    <t>Date:</t>
  </si>
  <si>
    <t>Option:
1. Normal
2. Off Day
3. Rest Day
4. Public Holiday</t>
  </si>
  <si>
    <t>Keyword</t>
  </si>
  <si>
    <t>Normal, Off Day, Rest Day, Public Holiday</t>
  </si>
  <si>
    <t>Month</t>
  </si>
  <si>
    <t>January, February, March, April, May, June, July, August, September, October, November, December</t>
  </si>
  <si>
    <t>1, 2, 3, 4, 5, 6, 7, 8, 9, 10, 11, 12</t>
  </si>
  <si>
    <t>Year</t>
  </si>
  <si>
    <t>2023, 2024, 2025, 2026, 2027, 2028, 2029, 2030, 2031, 2032, 2033, 2034, 2035, 2036, 2037, 2038, 2039, 2040, 2041, 2042, 2043, 2044, 2045, 2046, 2047, 2048, 2049, 2050</t>
  </si>
  <si>
    <t>N1, N2, N3, E1, E2, E3, E4, M1, M2,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</si>
</sst>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hh:mm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b/>
      <i/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lightUp">
        <fgColor theme="1"/>
        <bgColor rgb="FFD8D8D8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17" fontId="5" fillId="0" borderId="9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2" fontId="9" fillId="0" borderId="25" xfId="0" applyNumberFormat="1" applyFont="1" applyBorder="1" applyAlignment="1">
      <alignment horizontal="center" vertical="center"/>
    </xf>
    <xf numFmtId="43" fontId="9" fillId="0" borderId="25" xfId="0" applyNumberFormat="1" applyFont="1" applyBorder="1" applyAlignment="1">
      <alignment horizontal="center" vertical="center"/>
    </xf>
    <xf numFmtId="43" fontId="9" fillId="0" borderId="25" xfId="0" applyNumberFormat="1" applyFont="1" applyBorder="1" applyAlignment="1">
      <alignment vertical="center"/>
    </xf>
    <xf numFmtId="164" fontId="9" fillId="0" borderId="28" xfId="0" applyNumberFormat="1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 wrapText="1"/>
    </xf>
    <xf numFmtId="15" fontId="9" fillId="0" borderId="23" xfId="0" applyNumberFormat="1" applyFont="1" applyBorder="1" applyAlignment="1">
      <alignment horizontal="center" vertical="center"/>
    </xf>
    <xf numFmtId="15" fontId="9" fillId="0" borderId="2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2" fontId="6" fillId="0" borderId="30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8" fillId="4" borderId="24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164" fontId="9" fillId="0" borderId="28" xfId="0" applyNumberFormat="1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164" fontId="9" fillId="0" borderId="28" xfId="0" applyNumberFormat="1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1" fontId="5" fillId="0" borderId="9" xfId="0" applyNumberFormat="1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4" fillId="0" borderId="22" xfId="0" applyFont="1" applyBorder="1" applyAlignment="1">
      <alignment horizontal="right" vertical="center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 applyProtection="1">
      <alignment vertical="center"/>
      <protection locked="0"/>
    </xf>
    <xf numFmtId="0" fontId="4" fillId="0" borderId="34" xfId="0" applyFont="1" applyBorder="1" applyAlignment="1">
      <alignment vertical="center"/>
    </xf>
    <xf numFmtId="43" fontId="9" fillId="0" borderId="38" xfId="0" applyNumberFormat="1" applyFont="1" applyBorder="1" applyAlignment="1">
      <alignment horizontal="center" vertical="center"/>
    </xf>
    <xf numFmtId="43" fontId="9" fillId="0" borderId="39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 applyProtection="1">
      <alignment horizontal="center" vertical="center"/>
      <protection locked="0"/>
    </xf>
    <xf numFmtId="2" fontId="6" fillId="3" borderId="30" xfId="0" applyNumberFormat="1" applyFont="1" applyFill="1" applyBorder="1" applyAlignment="1">
      <alignment horizontal="center" vertical="center"/>
    </xf>
    <xf numFmtId="2" fontId="6" fillId="0" borderId="30" xfId="0" applyNumberFormat="1" applyFont="1" applyBorder="1" applyAlignment="1">
      <alignment horizontal="center" vertical="center"/>
    </xf>
    <xf numFmtId="43" fontId="9" fillId="0" borderId="25" xfId="0" applyNumberFormat="1" applyFont="1" applyBorder="1" applyAlignment="1">
      <alignment horizontal="center" vertical="center"/>
    </xf>
    <xf numFmtId="0" fontId="7" fillId="0" borderId="18" xfId="0" applyFont="1" applyBorder="1" applyAlignment="1"/>
    <xf numFmtId="0" fontId="7" fillId="0" borderId="19" xfId="0" applyFont="1" applyBorder="1" applyAlignment="1"/>
    <xf numFmtId="0" fontId="7" fillId="0" borderId="35" xfId="0" applyFont="1" applyBorder="1" applyAlignment="1"/>
    <xf numFmtId="0" fontId="7" fillId="0" borderId="20" xfId="0" applyFont="1" applyBorder="1" applyAlignment="1"/>
    <xf numFmtId="0" fontId="7" fillId="0" borderId="21" xfId="0" applyFont="1" applyBorder="1" applyAlignment="1"/>
    <xf numFmtId="0" fontId="7" fillId="0" borderId="22" xfId="0" applyFont="1" applyBorder="1" applyAlignment="1"/>
    <xf numFmtId="0" fontId="7" fillId="0" borderId="6" xfId="0" applyFont="1" applyBorder="1" applyAlignment="1"/>
    <xf numFmtId="0" fontId="7" fillId="0" borderId="7" xfId="0" applyFont="1" applyBorder="1" applyAlignment="1"/>
    <xf numFmtId="0" fontId="7" fillId="0" borderId="4" xfId="0" applyFont="1" applyBorder="1" applyAlignment="1"/>
    <xf numFmtId="0" fontId="7" fillId="0" borderId="36" xfId="0" applyFont="1" applyBorder="1" applyAlignment="1"/>
    <xf numFmtId="0" fontId="7" fillId="0" borderId="26" xfId="0" applyFont="1" applyBorder="1" applyAlignment="1"/>
    <xf numFmtId="0" fontId="7" fillId="0" borderId="27" xfId="0" applyFont="1" applyBorder="1" applyAlignment="1"/>
    <xf numFmtId="0" fontId="7" fillId="0" borderId="37" xfId="0" applyFont="1" applyBorder="1" applyAlignment="1"/>
    <xf numFmtId="0" fontId="7" fillId="0" borderId="26" xfId="0" applyFont="1" applyBorder="1" applyAlignment="1" applyProtection="1">
      <protection locked="0"/>
    </xf>
    <xf numFmtId="0" fontId="7" fillId="0" borderId="27" xfId="0" applyFont="1" applyBorder="1" applyAlignment="1" applyProtection="1">
      <protection locked="0"/>
    </xf>
    <xf numFmtId="0" fontId="7" fillId="0" borderId="14" xfId="0" applyFont="1" applyBorder="1" applyAlignment="1"/>
    <xf numFmtId="0" fontId="7" fillId="0" borderId="31" xfId="0" applyFont="1" applyBorder="1" applyAlignment="1"/>
    <xf numFmtId="0" fontId="7" fillId="0" borderId="40" xfId="0" applyFont="1" applyBorder="1" applyAlignment="1"/>
  </cellXfs>
  <cellStyles count="1">
    <cellStyle name="Normal" xfId="0" builtinId="0"/>
  </cellStyles>
  <dxfs count="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42925" cy="485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19049</xdr:rowOff>
    </xdr:from>
    <xdr:ext cx="542925" cy="49530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19049"/>
          <a:ext cx="542925" cy="49530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AA1000"/>
  <sheetViews>
    <sheetView tabSelected="1" topLeftCell="A30" workbookViewId="0">
      <selection activeCell="G33" sqref="G33:I33"/>
    </sheetView>
  </sheetViews>
  <sheetFormatPr defaultColWidth="0" defaultRowHeight="15" customHeight="1" zeroHeight="1"/>
  <cols>
    <col min="1" max="1" width="11.7109375" customWidth="1"/>
    <col min="2" max="3" width="10.7109375" customWidth="1"/>
    <col min="4" max="4" width="12.42578125" customWidth="1"/>
    <col min="5" max="5" width="9.28515625" customWidth="1"/>
    <col min="6" max="7" width="12.7109375" customWidth="1"/>
    <col min="8" max="10" width="12.85546875" customWidth="1"/>
    <col min="11" max="11" width="10.7109375" customWidth="1"/>
    <col min="12" max="12" width="0.42578125" customWidth="1"/>
    <col min="13" max="21" width="9.140625" hidden="1" customWidth="1"/>
    <col min="22" max="26" width="8.7109375" hidden="1" customWidth="1"/>
    <col min="27" max="16384" width="14.42578125" hidden="1"/>
  </cols>
  <sheetData>
    <row r="1" spans="1:27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7" ht="18" customHeight="1">
      <c r="A2" s="6"/>
      <c r="B2" s="4"/>
      <c r="C2" s="4"/>
      <c r="D2" s="4"/>
      <c r="E2" s="4"/>
      <c r="F2" s="4"/>
      <c r="G2" s="4"/>
      <c r="H2" s="4"/>
      <c r="I2" s="4"/>
      <c r="J2" s="4"/>
      <c r="K2" s="7" t="s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7" ht="12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54" t="s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2.75" customHeight="1" thickBo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24.75" customHeight="1" thickTop="1">
      <c r="A5" s="10" t="s">
        <v>3</v>
      </c>
      <c r="B5" s="45" t="s">
        <v>4</v>
      </c>
      <c r="C5" s="46"/>
      <c r="D5" s="46"/>
      <c r="E5" s="46"/>
      <c r="F5" s="46"/>
      <c r="G5" s="13" t="s">
        <v>5</v>
      </c>
      <c r="H5" s="49">
        <v>11</v>
      </c>
      <c r="I5" s="62">
        <v>2025</v>
      </c>
      <c r="J5" s="13" t="s">
        <v>6</v>
      </c>
      <c r="K5" s="55" t="s">
        <v>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7" ht="24.75" customHeight="1" thickBot="1">
      <c r="A6" s="15" t="s">
        <v>8</v>
      </c>
      <c r="B6" s="47" t="s">
        <v>9</v>
      </c>
      <c r="C6" s="63"/>
      <c r="D6" s="48"/>
      <c r="E6" s="48"/>
      <c r="F6" s="48"/>
      <c r="G6" s="18" t="s">
        <v>10</v>
      </c>
      <c r="H6" s="50" t="s">
        <v>11</v>
      </c>
      <c r="I6" s="51"/>
      <c r="J6" s="51"/>
      <c r="K6" s="5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7" ht="5.25" customHeight="1" thickTop="1" thickBot="1">
      <c r="A7" s="5"/>
      <c r="B7" s="5"/>
      <c r="C7" s="5"/>
      <c r="D7" s="5"/>
      <c r="E7" s="5"/>
      <c r="F7" s="5"/>
      <c r="G7" s="5"/>
      <c r="H7" s="5"/>
      <c r="I7" s="5"/>
      <c r="J7" s="5"/>
      <c r="K7" s="5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7" ht="24.75" customHeight="1" thickTop="1">
      <c r="A8" s="66" t="s">
        <v>12</v>
      </c>
      <c r="B8" s="67" t="s">
        <v>13</v>
      </c>
      <c r="C8" s="68" t="s">
        <v>14</v>
      </c>
      <c r="D8" s="67" t="s">
        <v>15</v>
      </c>
      <c r="E8" s="69" t="s">
        <v>16</v>
      </c>
      <c r="F8" s="69" t="s">
        <v>17</v>
      </c>
      <c r="G8" s="70" t="s">
        <v>18</v>
      </c>
      <c r="H8" s="76"/>
      <c r="I8" s="77"/>
      <c r="J8" s="70" t="s">
        <v>19</v>
      </c>
      <c r="K8" s="7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7" ht="12.75" customHeight="1">
      <c r="A9" s="79"/>
      <c r="B9" s="80"/>
      <c r="C9" s="80"/>
      <c r="D9" s="80"/>
      <c r="E9" s="81"/>
      <c r="F9" s="81"/>
      <c r="G9" s="82"/>
      <c r="H9" s="83"/>
      <c r="I9" s="81"/>
      <c r="J9" s="84"/>
      <c r="K9" s="8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7" ht="33.75" customHeight="1">
      <c r="A10" s="21" t="s">
        <v>20</v>
      </c>
      <c r="B10" s="22" t="s">
        <v>21</v>
      </c>
      <c r="C10" s="22" t="s">
        <v>21</v>
      </c>
      <c r="D10" s="22" t="s">
        <v>22</v>
      </c>
      <c r="E10" s="40"/>
      <c r="F10" s="40"/>
      <c r="G10" s="71" t="s">
        <v>23</v>
      </c>
      <c r="H10" s="86"/>
      <c r="I10" s="87"/>
      <c r="J10" s="82"/>
      <c r="K10" s="8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ht="24.75" customHeight="1">
      <c r="A11" s="28">
        <f>IFERROR(DATE($I$5,$H$5,Z11),"-")</f>
        <v>45962</v>
      </c>
      <c r="B11" s="42"/>
      <c r="C11" s="42"/>
      <c r="D11" s="43"/>
      <c r="E11" s="23" t="str">
        <f>IFERROR(IF(A11&lt;&gt;0,(IF(WEEKDAY(A11)=1,"Sun",IF(WEEKDAY(A11)=2,"Mon",IF(WEEKDAY(A11)=3,"Tue",IF(WEEKDAY(A11)=4,"Wed",IF(WEEKDAY(A11)=5,"Thu",IF(WEEKDAY(A11)=6,"Fri","Sat"))))))),"-"),"-")</f>
        <v>Sat</v>
      </c>
      <c r="F11" s="23">
        <f t="shared" ref="F11:F41" si="0">(C11-B11+(C11&lt;B11))*24</f>
        <v>0</v>
      </c>
      <c r="G11" s="72"/>
      <c r="H11" s="89"/>
      <c r="I11" s="90"/>
      <c r="J11" s="25"/>
      <c r="K11" s="5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>
        <v>1</v>
      </c>
      <c r="AA11">
        <f>MONTH(A11)</f>
        <v>11</v>
      </c>
    </row>
    <row r="12" spans="1:27" ht="24.75" customHeight="1">
      <c r="A12" s="28">
        <f t="shared" ref="A12:A41" si="1">IFERROR(DATE($I$5,$H$5,Z12),"-")</f>
        <v>45963</v>
      </c>
      <c r="B12" s="42"/>
      <c r="C12" s="42"/>
      <c r="D12" s="44"/>
      <c r="E12" s="23" t="str">
        <f t="shared" ref="E12:E41" si="2">IFERROR(IF(A12&lt;&gt;0,(IF(WEEKDAY(A12)=1,"Sun",IF(WEEKDAY(A12)=2,"Mon",IF(WEEKDAY(A12)=3,"Tue",IF(WEEKDAY(A12)=4,"Wed",IF(WEEKDAY(A12)=5,"Thu",IF(WEEKDAY(A12)=6,"Fri","Sat"))))))),"-"),"-")</f>
        <v>Sun</v>
      </c>
      <c r="F12" s="23">
        <f t="shared" si="0"/>
        <v>0</v>
      </c>
      <c r="G12" s="72"/>
      <c r="H12" s="89"/>
      <c r="I12" s="90"/>
      <c r="J12" s="25"/>
      <c r="K12" s="5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>
        <v>2</v>
      </c>
      <c r="AA12">
        <f t="shared" ref="AA12:AA41" si="3">MONTH(A12)</f>
        <v>11</v>
      </c>
    </row>
    <row r="13" spans="1:27" ht="24.75" customHeight="1">
      <c r="A13" s="28">
        <f t="shared" si="1"/>
        <v>45964</v>
      </c>
      <c r="B13" s="42"/>
      <c r="C13" s="42"/>
      <c r="D13" s="44"/>
      <c r="E13" s="23" t="str">
        <f t="shared" si="2"/>
        <v>Mon</v>
      </c>
      <c r="F13" s="23">
        <f t="shared" si="0"/>
        <v>0</v>
      </c>
      <c r="G13" s="72"/>
      <c r="H13" s="89"/>
      <c r="I13" s="90"/>
      <c r="J13" s="25"/>
      <c r="K13" s="5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>
        <v>3</v>
      </c>
      <c r="AA13">
        <f t="shared" si="3"/>
        <v>11</v>
      </c>
    </row>
    <row r="14" spans="1:27" ht="24.75" customHeight="1">
      <c r="A14" s="28">
        <f t="shared" si="1"/>
        <v>45965</v>
      </c>
      <c r="B14" s="42"/>
      <c r="C14" s="42"/>
      <c r="D14" s="44"/>
      <c r="E14" s="23" t="str">
        <f t="shared" si="2"/>
        <v>Tue</v>
      </c>
      <c r="F14" s="23">
        <f t="shared" si="0"/>
        <v>0</v>
      </c>
      <c r="G14" s="72"/>
      <c r="H14" s="89"/>
      <c r="I14" s="90"/>
      <c r="J14" s="25"/>
      <c r="K14" s="5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4</v>
      </c>
      <c r="AA14">
        <f t="shared" si="3"/>
        <v>11</v>
      </c>
    </row>
    <row r="15" spans="1:27" ht="24.75" customHeight="1">
      <c r="A15" s="28">
        <f t="shared" si="1"/>
        <v>45966</v>
      </c>
      <c r="B15" s="42"/>
      <c r="C15" s="42"/>
      <c r="D15" s="44"/>
      <c r="E15" s="23" t="str">
        <f t="shared" si="2"/>
        <v>Wed</v>
      </c>
      <c r="F15" s="23">
        <f t="shared" si="0"/>
        <v>0</v>
      </c>
      <c r="G15" s="72"/>
      <c r="H15" s="89"/>
      <c r="I15" s="90"/>
      <c r="J15" s="25"/>
      <c r="K15" s="5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5</v>
      </c>
      <c r="AA15">
        <f t="shared" si="3"/>
        <v>11</v>
      </c>
    </row>
    <row r="16" spans="1:27" ht="24.75" customHeight="1">
      <c r="A16" s="28">
        <f t="shared" si="1"/>
        <v>45967</v>
      </c>
      <c r="B16" s="42">
        <v>0.875</v>
      </c>
      <c r="C16" s="42">
        <v>0.375</v>
      </c>
      <c r="D16" s="44" t="s">
        <v>24</v>
      </c>
      <c r="E16" s="23" t="str">
        <f t="shared" si="2"/>
        <v>Thu</v>
      </c>
      <c r="F16" s="23">
        <f t="shared" si="0"/>
        <v>12</v>
      </c>
      <c r="G16" s="72" t="s">
        <v>25</v>
      </c>
      <c r="H16" s="89"/>
      <c r="I16" s="90"/>
      <c r="J16" s="25"/>
      <c r="K16" s="5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6</v>
      </c>
      <c r="AA16">
        <f t="shared" si="3"/>
        <v>11</v>
      </c>
    </row>
    <row r="17" spans="1:27" ht="24.75" customHeight="1">
      <c r="A17" s="28">
        <f t="shared" si="1"/>
        <v>45968</v>
      </c>
      <c r="B17" s="42"/>
      <c r="C17" s="42"/>
      <c r="D17" s="44"/>
      <c r="E17" s="23" t="str">
        <f t="shared" si="2"/>
        <v>Fri</v>
      </c>
      <c r="F17" s="23">
        <f t="shared" si="0"/>
        <v>0</v>
      </c>
      <c r="G17" s="72"/>
      <c r="H17" s="89"/>
      <c r="I17" s="90"/>
      <c r="J17" s="25"/>
      <c r="K17" s="5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v>7</v>
      </c>
      <c r="AA17">
        <f t="shared" si="3"/>
        <v>11</v>
      </c>
    </row>
    <row r="18" spans="1:27" ht="24.75" customHeight="1">
      <c r="A18" s="28">
        <f t="shared" si="1"/>
        <v>45969</v>
      </c>
      <c r="B18" s="42">
        <v>0.375</v>
      </c>
      <c r="C18" s="42">
        <v>0.875</v>
      </c>
      <c r="D18" s="44" t="s">
        <v>24</v>
      </c>
      <c r="E18" s="23" t="str">
        <f t="shared" si="2"/>
        <v>Sat</v>
      </c>
      <c r="F18" s="23">
        <f t="shared" si="0"/>
        <v>12</v>
      </c>
      <c r="G18" s="72" t="s">
        <v>26</v>
      </c>
      <c r="H18" s="89"/>
      <c r="I18" s="90"/>
      <c r="J18" s="25"/>
      <c r="K18" s="5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>
        <v>8</v>
      </c>
      <c r="AA18">
        <f t="shared" si="3"/>
        <v>11</v>
      </c>
    </row>
    <row r="19" spans="1:27" ht="24.75" customHeight="1">
      <c r="A19" s="28">
        <f t="shared" si="1"/>
        <v>45970</v>
      </c>
      <c r="B19" s="42"/>
      <c r="C19" s="42"/>
      <c r="D19" s="44"/>
      <c r="E19" s="23" t="str">
        <f t="shared" si="2"/>
        <v>Sun</v>
      </c>
      <c r="F19" s="23">
        <f t="shared" si="0"/>
        <v>0</v>
      </c>
      <c r="G19" s="72"/>
      <c r="H19" s="89"/>
      <c r="I19" s="90"/>
      <c r="J19" s="25"/>
      <c r="K19" s="5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>
        <v>9</v>
      </c>
      <c r="AA19">
        <f t="shared" si="3"/>
        <v>11</v>
      </c>
    </row>
    <row r="20" spans="1:27" ht="24.75" customHeight="1">
      <c r="A20" s="28">
        <f t="shared" si="1"/>
        <v>45971</v>
      </c>
      <c r="B20" s="42"/>
      <c r="C20" s="42"/>
      <c r="D20" s="44"/>
      <c r="E20" s="23" t="str">
        <f t="shared" si="2"/>
        <v>Mon</v>
      </c>
      <c r="F20" s="23">
        <f t="shared" si="0"/>
        <v>0</v>
      </c>
      <c r="G20" s="72"/>
      <c r="H20" s="89"/>
      <c r="I20" s="90"/>
      <c r="J20" s="25"/>
      <c r="K20" s="5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v>10</v>
      </c>
      <c r="AA20">
        <f t="shared" si="3"/>
        <v>11</v>
      </c>
    </row>
    <row r="21" spans="1:27" ht="24.75" customHeight="1">
      <c r="A21" s="28">
        <f t="shared" si="1"/>
        <v>45972</v>
      </c>
      <c r="B21" s="42"/>
      <c r="C21" s="42"/>
      <c r="D21" s="44"/>
      <c r="E21" s="23" t="str">
        <f t="shared" si="2"/>
        <v>Tue</v>
      </c>
      <c r="F21" s="23">
        <f t="shared" si="0"/>
        <v>0</v>
      </c>
      <c r="G21" s="72"/>
      <c r="H21" s="89"/>
      <c r="I21" s="90"/>
      <c r="J21" s="25"/>
      <c r="K21" s="5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11</v>
      </c>
      <c r="AA21">
        <f t="shared" si="3"/>
        <v>11</v>
      </c>
    </row>
    <row r="22" spans="1:27" ht="24.75" customHeight="1">
      <c r="A22" s="28">
        <f t="shared" si="1"/>
        <v>45973</v>
      </c>
      <c r="B22" s="42"/>
      <c r="C22" s="42"/>
      <c r="D22" s="44"/>
      <c r="E22" s="23" t="str">
        <f t="shared" si="2"/>
        <v>Wed</v>
      </c>
      <c r="F22" s="23">
        <f t="shared" si="0"/>
        <v>0</v>
      </c>
      <c r="G22" s="72"/>
      <c r="H22" s="89"/>
      <c r="I22" s="90"/>
      <c r="J22" s="25"/>
      <c r="K22" s="5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12</v>
      </c>
      <c r="AA22">
        <f t="shared" si="3"/>
        <v>11</v>
      </c>
    </row>
    <row r="23" spans="1:27" ht="24.75" customHeight="1">
      <c r="A23" s="28">
        <f t="shared" si="1"/>
        <v>45974</v>
      </c>
      <c r="B23" s="42"/>
      <c r="C23" s="42"/>
      <c r="D23" s="44"/>
      <c r="E23" s="23" t="str">
        <f t="shared" si="2"/>
        <v>Thu</v>
      </c>
      <c r="F23" s="23">
        <f t="shared" si="0"/>
        <v>0</v>
      </c>
      <c r="G23" s="72"/>
      <c r="H23" s="89"/>
      <c r="I23" s="90"/>
      <c r="J23" s="25"/>
      <c r="K23" s="5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13</v>
      </c>
      <c r="AA23">
        <f t="shared" si="3"/>
        <v>11</v>
      </c>
    </row>
    <row r="24" spans="1:27" ht="24.75" customHeight="1">
      <c r="A24" s="28">
        <f t="shared" si="1"/>
        <v>45975</v>
      </c>
      <c r="B24" s="42"/>
      <c r="C24" s="42"/>
      <c r="D24" s="44"/>
      <c r="E24" s="23" t="str">
        <f t="shared" si="2"/>
        <v>Fri</v>
      </c>
      <c r="F24" s="23">
        <f t="shared" si="0"/>
        <v>0</v>
      </c>
      <c r="G24" s="72"/>
      <c r="H24" s="89"/>
      <c r="I24" s="90"/>
      <c r="J24" s="25"/>
      <c r="K24" s="5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>
        <v>14</v>
      </c>
      <c r="AA24">
        <f t="shared" si="3"/>
        <v>11</v>
      </c>
    </row>
    <row r="25" spans="1:27" ht="24.75" customHeight="1">
      <c r="A25" s="28">
        <f t="shared" si="1"/>
        <v>45976</v>
      </c>
      <c r="B25" s="42"/>
      <c r="C25" s="42"/>
      <c r="D25" s="44"/>
      <c r="E25" s="23" t="str">
        <f t="shared" si="2"/>
        <v>Sat</v>
      </c>
      <c r="F25" s="23">
        <f t="shared" si="0"/>
        <v>0</v>
      </c>
      <c r="G25" s="72"/>
      <c r="H25" s="89"/>
      <c r="I25" s="90"/>
      <c r="J25" s="25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v>15</v>
      </c>
      <c r="AA25">
        <f t="shared" si="3"/>
        <v>11</v>
      </c>
    </row>
    <row r="26" spans="1:27" ht="24.75" customHeight="1">
      <c r="A26" s="28">
        <f t="shared" si="1"/>
        <v>45977</v>
      </c>
      <c r="B26" s="42"/>
      <c r="C26" s="42"/>
      <c r="D26" s="44"/>
      <c r="E26" s="23" t="str">
        <f t="shared" si="2"/>
        <v>Sun</v>
      </c>
      <c r="F26" s="23">
        <f t="shared" si="0"/>
        <v>0</v>
      </c>
      <c r="G26" s="72"/>
      <c r="H26" s="89"/>
      <c r="I26" s="90"/>
      <c r="J26" s="25"/>
      <c r="K26" s="5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>
        <v>16</v>
      </c>
      <c r="AA26">
        <f t="shared" si="3"/>
        <v>11</v>
      </c>
    </row>
    <row r="27" spans="1:27" ht="24.75" customHeight="1">
      <c r="A27" s="28">
        <f t="shared" si="1"/>
        <v>45978</v>
      </c>
      <c r="B27" s="42"/>
      <c r="C27" s="42"/>
      <c r="D27" s="44"/>
      <c r="E27" s="23" t="str">
        <f t="shared" si="2"/>
        <v>Mon</v>
      </c>
      <c r="F27" s="23">
        <f t="shared" si="0"/>
        <v>0</v>
      </c>
      <c r="G27" s="72"/>
      <c r="H27" s="89"/>
      <c r="I27" s="90"/>
      <c r="J27" s="25"/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17</v>
      </c>
      <c r="AA27">
        <f t="shared" si="3"/>
        <v>11</v>
      </c>
    </row>
    <row r="28" spans="1:27" ht="24.75" customHeight="1">
      <c r="A28" s="28">
        <f t="shared" si="1"/>
        <v>45979</v>
      </c>
      <c r="B28" s="42"/>
      <c r="C28" s="42"/>
      <c r="D28" s="44"/>
      <c r="E28" s="23" t="str">
        <f t="shared" si="2"/>
        <v>Tue</v>
      </c>
      <c r="F28" s="23">
        <f t="shared" si="0"/>
        <v>0</v>
      </c>
      <c r="G28" s="72"/>
      <c r="H28" s="89"/>
      <c r="I28" s="90"/>
      <c r="J28" s="25"/>
      <c r="K28" s="5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18</v>
      </c>
      <c r="AA28">
        <f t="shared" si="3"/>
        <v>11</v>
      </c>
    </row>
    <row r="29" spans="1:27" ht="24.75" customHeight="1">
      <c r="A29" s="28">
        <f t="shared" si="1"/>
        <v>45980</v>
      </c>
      <c r="B29" s="42"/>
      <c r="C29" s="42"/>
      <c r="D29" s="44"/>
      <c r="E29" s="23" t="str">
        <f t="shared" si="2"/>
        <v>Wed</v>
      </c>
      <c r="F29" s="23">
        <f t="shared" si="0"/>
        <v>0</v>
      </c>
      <c r="G29" s="72"/>
      <c r="H29" s="89"/>
      <c r="I29" s="90"/>
      <c r="J29" s="25"/>
      <c r="K29" s="5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19</v>
      </c>
      <c r="AA29">
        <f t="shared" si="3"/>
        <v>11</v>
      </c>
    </row>
    <row r="30" spans="1:27" ht="24.75" customHeight="1">
      <c r="A30" s="28">
        <f t="shared" si="1"/>
        <v>45981</v>
      </c>
      <c r="B30" s="42"/>
      <c r="C30" s="42"/>
      <c r="D30" s="44"/>
      <c r="E30" s="23" t="str">
        <f t="shared" si="2"/>
        <v>Thu</v>
      </c>
      <c r="F30" s="23">
        <f t="shared" si="0"/>
        <v>0</v>
      </c>
      <c r="G30" s="72"/>
      <c r="H30" s="89"/>
      <c r="I30" s="90"/>
      <c r="J30" s="24"/>
      <c r="K30" s="5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v>20</v>
      </c>
      <c r="AA30">
        <f t="shared" si="3"/>
        <v>11</v>
      </c>
    </row>
    <row r="31" spans="1:27" ht="24.75" customHeight="1">
      <c r="A31" s="28">
        <f t="shared" si="1"/>
        <v>45982</v>
      </c>
      <c r="B31" s="42"/>
      <c r="C31" s="42"/>
      <c r="D31" s="44"/>
      <c r="E31" s="23" t="str">
        <f t="shared" si="2"/>
        <v>Fri</v>
      </c>
      <c r="F31" s="23">
        <f t="shared" si="0"/>
        <v>0</v>
      </c>
      <c r="G31" s="72"/>
      <c r="H31" s="89"/>
      <c r="I31" s="90"/>
      <c r="J31" s="24"/>
      <c r="K31" s="5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21</v>
      </c>
      <c r="AA31">
        <f t="shared" si="3"/>
        <v>11</v>
      </c>
    </row>
    <row r="32" spans="1:27" ht="24.75" customHeight="1">
      <c r="A32" s="28">
        <f t="shared" si="1"/>
        <v>45983</v>
      </c>
      <c r="B32" s="42"/>
      <c r="C32" s="42"/>
      <c r="D32" s="44"/>
      <c r="E32" s="23" t="str">
        <f t="shared" si="2"/>
        <v>Sat</v>
      </c>
      <c r="F32" s="23">
        <f t="shared" si="0"/>
        <v>0</v>
      </c>
      <c r="G32" s="72"/>
      <c r="H32" s="89"/>
      <c r="I32" s="90"/>
      <c r="J32" s="24"/>
      <c r="K32" s="5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22</v>
      </c>
      <c r="AA32">
        <f t="shared" si="3"/>
        <v>11</v>
      </c>
    </row>
    <row r="33" spans="1:27" ht="24.75" customHeight="1">
      <c r="A33" s="28">
        <f t="shared" si="1"/>
        <v>45984</v>
      </c>
      <c r="B33" s="42"/>
      <c r="C33" s="42"/>
      <c r="D33" s="44"/>
      <c r="E33" s="23" t="str">
        <f t="shared" si="2"/>
        <v>Sun</v>
      </c>
      <c r="F33" s="23">
        <f t="shared" si="0"/>
        <v>0</v>
      </c>
      <c r="G33" s="72"/>
      <c r="H33" s="89"/>
      <c r="I33" s="90"/>
      <c r="J33" s="24"/>
      <c r="K33" s="5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v>23</v>
      </c>
      <c r="AA33">
        <f t="shared" si="3"/>
        <v>11</v>
      </c>
    </row>
    <row r="34" spans="1:27" ht="24.75" customHeight="1">
      <c r="A34" s="28">
        <f t="shared" si="1"/>
        <v>45985</v>
      </c>
      <c r="B34" s="42"/>
      <c r="C34" s="42"/>
      <c r="D34" s="44"/>
      <c r="E34" s="23" t="str">
        <f t="shared" si="2"/>
        <v>Mon</v>
      </c>
      <c r="F34" s="23">
        <f t="shared" si="0"/>
        <v>0</v>
      </c>
      <c r="G34" s="72"/>
      <c r="H34" s="89"/>
      <c r="I34" s="90"/>
      <c r="J34" s="24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24</v>
      </c>
      <c r="AA34">
        <f t="shared" si="3"/>
        <v>11</v>
      </c>
    </row>
    <row r="35" spans="1:27" ht="24.75" customHeight="1">
      <c r="A35" s="28">
        <f t="shared" si="1"/>
        <v>45986</v>
      </c>
      <c r="B35" s="42"/>
      <c r="C35" s="42"/>
      <c r="D35" s="44"/>
      <c r="E35" s="23" t="str">
        <f t="shared" si="2"/>
        <v>Tue</v>
      </c>
      <c r="F35" s="23">
        <f t="shared" si="0"/>
        <v>0</v>
      </c>
      <c r="G35" s="72"/>
      <c r="H35" s="89"/>
      <c r="I35" s="90"/>
      <c r="J35" s="24"/>
      <c r="K35" s="5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v>25</v>
      </c>
      <c r="AA35">
        <f t="shared" si="3"/>
        <v>11</v>
      </c>
    </row>
    <row r="36" spans="1:27" ht="24.75" customHeight="1">
      <c r="A36" s="28">
        <f t="shared" si="1"/>
        <v>45987</v>
      </c>
      <c r="B36" s="42"/>
      <c r="C36" s="42"/>
      <c r="D36" s="44"/>
      <c r="E36" s="23" t="str">
        <f t="shared" si="2"/>
        <v>Wed</v>
      </c>
      <c r="F36" s="23">
        <f t="shared" si="0"/>
        <v>0</v>
      </c>
      <c r="G36" s="72"/>
      <c r="H36" s="89"/>
      <c r="I36" s="90"/>
      <c r="J36" s="24"/>
      <c r="K36" s="5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>
        <v>26</v>
      </c>
      <c r="AA36">
        <f t="shared" si="3"/>
        <v>11</v>
      </c>
    </row>
    <row r="37" spans="1:27" ht="24.75" customHeight="1">
      <c r="A37" s="28">
        <f t="shared" si="1"/>
        <v>45988</v>
      </c>
      <c r="B37" s="42"/>
      <c r="C37" s="42"/>
      <c r="D37" s="44"/>
      <c r="E37" s="23" t="str">
        <f t="shared" si="2"/>
        <v>Thu</v>
      </c>
      <c r="F37" s="23">
        <f t="shared" si="0"/>
        <v>0</v>
      </c>
      <c r="G37" s="72"/>
      <c r="H37" s="89"/>
      <c r="I37" s="90"/>
      <c r="J37" s="24"/>
      <c r="K37" s="5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27</v>
      </c>
      <c r="AA37">
        <f t="shared" si="3"/>
        <v>11</v>
      </c>
    </row>
    <row r="38" spans="1:27" ht="24.75" customHeight="1">
      <c r="A38" s="28">
        <f t="shared" si="1"/>
        <v>45989</v>
      </c>
      <c r="B38" s="42"/>
      <c r="C38" s="42"/>
      <c r="D38" s="44"/>
      <c r="E38" s="23" t="str">
        <f t="shared" si="2"/>
        <v>Fri</v>
      </c>
      <c r="F38" s="23">
        <f t="shared" si="0"/>
        <v>0</v>
      </c>
      <c r="G38" s="72"/>
      <c r="H38" s="89"/>
      <c r="I38" s="90"/>
      <c r="J38" s="24"/>
      <c r="K38" s="5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v>28</v>
      </c>
      <c r="AA38">
        <f t="shared" si="3"/>
        <v>11</v>
      </c>
    </row>
    <row r="39" spans="1:27" ht="24.75" customHeight="1">
      <c r="A39" s="28">
        <f t="shared" si="1"/>
        <v>45990</v>
      </c>
      <c r="B39" s="42"/>
      <c r="C39" s="42"/>
      <c r="D39" s="44"/>
      <c r="E39" s="23" t="str">
        <f t="shared" si="2"/>
        <v>Sat</v>
      </c>
      <c r="F39" s="23">
        <f t="shared" si="0"/>
        <v>0</v>
      </c>
      <c r="G39" s="72"/>
      <c r="H39" s="89"/>
      <c r="I39" s="90"/>
      <c r="J39" s="24"/>
      <c r="K39" s="5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>
        <v>29</v>
      </c>
      <c r="AA39">
        <f t="shared" si="3"/>
        <v>11</v>
      </c>
    </row>
    <row r="40" spans="1:27" ht="24.75" customHeight="1">
      <c r="A40" s="28">
        <f t="shared" si="1"/>
        <v>45991</v>
      </c>
      <c r="B40" s="42"/>
      <c r="C40" s="42"/>
      <c r="D40" s="44"/>
      <c r="E40" s="23" t="str">
        <f t="shared" si="2"/>
        <v>Sun</v>
      </c>
      <c r="F40" s="23">
        <f t="shared" si="0"/>
        <v>0</v>
      </c>
      <c r="G40" s="72"/>
      <c r="H40" s="89"/>
      <c r="I40" s="90"/>
      <c r="J40" s="24"/>
      <c r="K40" s="5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v>30</v>
      </c>
      <c r="AA40">
        <f t="shared" si="3"/>
        <v>11</v>
      </c>
    </row>
    <row r="41" spans="1:27" ht="24.75" customHeight="1">
      <c r="A41" s="28">
        <f t="shared" si="1"/>
        <v>45992</v>
      </c>
      <c r="B41" s="42"/>
      <c r="C41" s="42"/>
      <c r="D41" s="44"/>
      <c r="E41" s="23" t="str">
        <f t="shared" si="2"/>
        <v>Mon</v>
      </c>
      <c r="F41" s="23">
        <f t="shared" si="0"/>
        <v>0</v>
      </c>
      <c r="G41" s="72"/>
      <c r="H41" s="89"/>
      <c r="I41" s="90"/>
      <c r="J41" s="25"/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31</v>
      </c>
      <c r="AA41">
        <f t="shared" si="3"/>
        <v>12</v>
      </c>
    </row>
    <row r="42" spans="1:27" ht="24.75" customHeight="1">
      <c r="A42" s="30"/>
      <c r="B42" s="31"/>
      <c r="C42" s="31"/>
      <c r="D42" s="32" t="s">
        <v>27</v>
      </c>
      <c r="E42" s="33" t="s">
        <v>28</v>
      </c>
      <c r="F42" s="33">
        <f>SUM(F11:F41)</f>
        <v>24</v>
      </c>
      <c r="G42" s="73"/>
      <c r="H42" s="91"/>
      <c r="I42" s="92"/>
      <c r="J42" s="74"/>
      <c r="K42" s="9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7" ht="9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ht="12.75" customHeight="1">
      <c r="A44" s="34" t="s">
        <v>29</v>
      </c>
      <c r="B44" s="34" t="s">
        <v>30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7" ht="12.75" customHeight="1">
      <c r="A45" s="34"/>
      <c r="B45" s="34" t="s">
        <v>31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7" ht="12.75" customHeight="1">
      <c r="A46" s="34"/>
      <c r="B46" s="34" t="s">
        <v>32</v>
      </c>
      <c r="C46" s="34"/>
      <c r="D46" s="34"/>
      <c r="E46" s="34"/>
      <c r="F46" s="35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7" ht="12.75" customHeight="1">
      <c r="A47" s="34"/>
      <c r="B47" s="34" t="s">
        <v>33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7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36" t="s">
        <v>34</v>
      </c>
      <c r="B49" s="36"/>
      <c r="C49" s="5"/>
      <c r="D49" s="36" t="s">
        <v>35</v>
      </c>
      <c r="E49" s="5"/>
      <c r="F49" s="5"/>
      <c r="G49" s="36" t="s">
        <v>36</v>
      </c>
      <c r="H49" s="36"/>
      <c r="I49" s="5"/>
      <c r="J49" s="36" t="s">
        <v>37</v>
      </c>
      <c r="K49" s="3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36"/>
      <c r="B50" s="36"/>
      <c r="C50" s="5"/>
      <c r="D50" s="36"/>
      <c r="E50" s="5"/>
      <c r="F50" s="5"/>
      <c r="G50" s="36"/>
      <c r="H50" s="36"/>
      <c r="I50" s="5"/>
      <c r="J50" s="36"/>
      <c r="K50" s="3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36"/>
      <c r="B51" s="36"/>
      <c r="C51" s="5"/>
      <c r="D51" s="36"/>
      <c r="E51" s="5"/>
      <c r="F51" s="5"/>
      <c r="G51" s="36"/>
      <c r="H51" s="36"/>
      <c r="I51" s="5"/>
      <c r="J51" s="36"/>
      <c r="K51" s="3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37"/>
      <c r="B52" s="37"/>
      <c r="C52" s="5"/>
      <c r="D52" s="37"/>
      <c r="E52" s="37"/>
      <c r="F52" s="5"/>
      <c r="G52" s="37"/>
      <c r="H52" s="37"/>
      <c r="I52" s="5"/>
      <c r="J52" s="37"/>
      <c r="K52" s="3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2" t="s">
        <v>38</v>
      </c>
      <c r="B53" s="52" t="s">
        <v>39</v>
      </c>
      <c r="C53" s="52"/>
      <c r="D53" s="52" t="s">
        <v>38</v>
      </c>
      <c r="E53" s="52"/>
      <c r="F53" s="52"/>
      <c r="G53" s="5" t="s">
        <v>38</v>
      </c>
      <c r="H53" s="5"/>
      <c r="I53" s="5"/>
      <c r="J53" s="5" t="s">
        <v>40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2" t="s">
        <v>41</v>
      </c>
      <c r="B54" s="53">
        <v>45994</v>
      </c>
      <c r="C54" s="52"/>
      <c r="D54" s="52" t="s">
        <v>41</v>
      </c>
      <c r="E54" s="52"/>
      <c r="F54" s="52"/>
      <c r="G54" s="5" t="s">
        <v>41</v>
      </c>
      <c r="H54" s="5"/>
      <c r="I54" s="5"/>
      <c r="J54" s="5" t="s">
        <v>41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hidden="1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38"/>
      <c r="Q55" s="38"/>
      <c r="R55" s="38"/>
      <c r="S55" s="38"/>
      <c r="T55" s="38"/>
      <c r="U55" s="38"/>
      <c r="V55" s="5"/>
      <c r="W55" s="5"/>
      <c r="X55" s="5"/>
      <c r="Y55" s="5"/>
      <c r="Z55" s="5"/>
    </row>
    <row r="56" spans="1:26" ht="12.75" hidden="1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hidden="1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hidden="1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hidden="1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hidden="1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hidden="1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hidden="1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hidden="1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hidden="1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hidden="1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hidden="1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hidden="1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hidden="1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hidden="1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hidden="1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hidden="1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hidden="1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hidden="1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hidden="1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hidden="1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hidden="1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hidden="1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hidden="1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hidden="1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hidden="1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hidden="1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hidden="1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hidden="1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hidden="1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hidden="1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hidden="1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hidden="1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hidden="1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hidden="1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hidden="1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hidden="1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hidden="1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hidden="1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hidden="1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hidden="1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hidden="1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hidden="1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hidden="1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hidden="1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hidden="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hidden="1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hidden="1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hidden="1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hidden="1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hidden="1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hidden="1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hidden="1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hidden="1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hidden="1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hidden="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hidden="1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hidden="1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hidden="1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hidden="1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hidden="1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hidden="1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hidden="1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hidden="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hidden="1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hidden="1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hidden="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hidden="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hidden="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hidden="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hidden="1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hidden="1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hidden="1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hidden="1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hidden="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hidden="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hidden="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hidden="1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hidden="1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hidden="1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hidden="1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hidden="1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hidden="1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hidden="1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hidden="1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hidden="1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hidden="1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hidden="1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hidden="1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hidden="1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hidden="1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hidden="1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hidden="1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hidden="1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hidden="1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hidden="1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hidden="1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hidden="1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hidden="1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hidden="1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hidden="1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hidden="1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hidden="1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hidden="1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hidden="1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hidden="1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hidden="1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hidden="1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hidden="1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hidden="1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hidden="1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hidden="1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hidden="1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hidden="1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hidden="1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hidden="1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hidden="1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hidden="1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hidden="1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hidden="1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hidden="1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hidden="1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hidden="1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hidden="1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hidden="1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hidden="1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hidden="1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hidden="1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hidden="1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hidden="1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hidden="1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hidden="1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hidden="1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hidden="1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hidden="1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hidden="1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hidden="1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hidden="1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hidden="1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hidden="1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hidden="1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hidden="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hidden="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hidden="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hidden="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hidden="1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hidden="1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hidden="1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hidden="1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hidden="1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hidden="1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hidden="1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hidden="1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hidden="1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hidden="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hidden="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hidden="1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hidden="1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hidden="1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hidden="1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hidden="1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hidden="1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hidden="1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hidden="1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hidden="1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hidden="1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hidden="1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hidden="1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hidden="1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hidden="1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hidden="1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hidden="1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hidden="1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hidden="1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hidden="1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hidden="1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hidden="1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hidden="1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hidden="1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hidden="1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hidden="1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hidden="1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hidden="1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hidden="1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hidden="1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hidden="1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hidden="1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hidden="1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hidden="1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hidden="1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hidden="1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hidden="1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hidden="1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hidden="1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hidden="1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hidden="1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hidden="1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hidden="1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hidden="1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hidden="1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hidden="1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hidden="1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hidden="1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hidden="1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hidden="1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hidden="1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hidden="1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hidden="1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hidden="1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hidden="1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hidden="1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hidden="1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hidden="1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hidden="1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hidden="1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hidden="1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hidden="1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hidden="1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hidden="1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hidden="1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hidden="1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hidden="1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hidden="1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hidden="1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hidden="1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hidden="1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hidden="1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hidden="1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hidden="1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hidden="1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hidden="1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hidden="1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hidden="1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hidden="1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hidden="1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hidden="1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hidden="1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hidden="1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hidden="1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hidden="1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hidden="1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hidden="1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hidden="1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hidden="1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hidden="1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hidden="1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hidden="1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hidden="1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hidden="1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hidden="1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hidden="1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hidden="1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hidden="1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hidden="1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hidden="1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hidden="1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hidden="1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hidden="1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hidden="1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hidden="1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hidden="1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hidden="1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hidden="1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hidden="1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hidden="1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hidden="1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hidden="1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hidden="1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hidden="1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hidden="1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hidden="1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hidden="1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hidden="1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hidden="1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hidden="1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hidden="1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hidden="1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hidden="1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hidden="1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hidden="1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hidden="1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hidden="1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hidden="1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hidden="1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hidden="1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hidden="1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hidden="1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hidden="1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hidden="1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hidden="1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hidden="1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hidden="1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hidden="1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hidden="1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hidden="1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hidden="1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hidden="1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hidden="1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hidden="1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hidden="1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hidden="1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hidden="1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hidden="1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hidden="1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hidden="1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hidden="1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hidden="1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hidden="1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hidden="1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hidden="1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hidden="1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hidden="1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hidden="1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hidden="1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hidden="1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hidden="1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hidden="1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hidden="1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hidden="1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hidden="1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hidden="1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hidden="1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hidden="1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hidden="1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hidden="1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hidden="1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hidden="1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hidden="1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hidden="1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hidden="1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hidden="1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hidden="1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hidden="1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hidden="1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hidden="1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hidden="1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hidden="1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hidden="1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hidden="1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hidden="1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hidden="1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hidden="1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hidden="1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hidden="1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hidden="1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hidden="1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hidden="1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hidden="1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hidden="1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hidden="1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hidden="1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hidden="1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hidden="1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hidden="1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hidden="1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hidden="1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hidden="1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hidden="1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hidden="1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hidden="1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hidden="1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hidden="1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hidden="1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hidden="1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hidden="1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hidden="1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hidden="1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hidden="1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hidden="1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hidden="1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hidden="1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hidden="1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hidden="1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hidden="1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hidden="1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hidden="1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hidden="1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hidden="1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hidden="1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hidden="1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hidden="1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hidden="1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hidden="1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hidden="1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hidden="1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hidden="1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hidden="1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hidden="1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hidden="1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hidden="1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hidden="1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hidden="1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hidden="1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hidden="1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hidden="1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hidden="1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hidden="1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hidden="1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hidden="1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hidden="1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hidden="1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hidden="1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hidden="1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hidden="1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hidden="1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hidden="1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hidden="1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hidden="1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hidden="1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hidden="1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hidden="1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hidden="1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hidden="1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hidden="1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hidden="1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hidden="1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hidden="1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hidden="1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hidden="1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hidden="1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hidden="1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hidden="1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hidden="1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hidden="1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hidden="1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hidden="1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hidden="1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hidden="1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hidden="1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hidden="1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hidden="1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hidden="1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hidden="1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hidden="1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hidden="1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hidden="1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hidden="1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hidden="1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hidden="1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hidden="1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hidden="1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hidden="1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hidden="1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hidden="1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hidden="1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hidden="1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hidden="1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hidden="1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hidden="1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hidden="1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hidden="1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hidden="1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hidden="1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hidden="1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hidden="1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hidden="1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hidden="1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hidden="1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hidden="1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hidden="1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hidden="1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hidden="1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hidden="1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hidden="1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hidden="1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hidden="1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hidden="1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hidden="1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hidden="1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hidden="1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hidden="1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hidden="1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hidden="1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hidden="1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hidden="1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hidden="1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hidden="1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hidden="1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hidden="1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hidden="1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hidden="1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hidden="1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hidden="1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hidden="1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hidden="1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hidden="1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hidden="1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hidden="1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hidden="1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hidden="1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hidden="1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hidden="1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hidden="1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hidden="1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hidden="1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hidden="1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hidden="1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hidden="1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hidden="1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hidden="1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hidden="1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hidden="1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hidden="1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hidden="1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hidden="1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hidden="1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hidden="1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hidden="1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hidden="1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hidden="1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hidden="1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hidden="1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hidden="1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hidden="1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hidden="1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hidden="1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hidden="1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hidden="1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hidden="1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hidden="1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hidden="1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hidden="1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hidden="1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hidden="1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hidden="1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hidden="1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hidden="1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hidden="1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hidden="1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hidden="1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hidden="1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hidden="1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hidden="1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hidden="1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hidden="1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hidden="1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hidden="1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hidden="1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hidden="1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hidden="1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hidden="1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hidden="1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hidden="1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hidden="1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hidden="1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hidden="1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hidden="1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hidden="1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hidden="1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hidden="1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hidden="1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hidden="1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hidden="1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hidden="1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hidden="1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hidden="1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hidden="1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hidden="1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hidden="1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hidden="1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hidden="1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hidden="1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hidden="1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hidden="1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hidden="1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hidden="1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hidden="1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hidden="1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hidden="1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hidden="1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hidden="1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hidden="1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hidden="1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hidden="1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sheetProtection algorithmName="SHA-512" hashValue="QFNc2kaNknyXteH3JqEG08MSZyp6AT9Z+P1CblgZv8CltMSB4xvM+PFPTJIJhmiQ3lBoyrZ0fJHmiLN+VXq8bg==" saltValue="XxHxeqZUSp5vTA+rOVTD9Q==" spinCount="100000" sheet="1" objects="1" scenarios="1"/>
  <mergeCells count="42">
    <mergeCell ref="G39:I39"/>
    <mergeCell ref="G40:I40"/>
    <mergeCell ref="G41:I41"/>
    <mergeCell ref="G42:I42"/>
    <mergeCell ref="J42:K42"/>
    <mergeCell ref="G27:I27"/>
    <mergeCell ref="G28:I28"/>
    <mergeCell ref="G29:I29"/>
    <mergeCell ref="G37:I37"/>
    <mergeCell ref="G38:I38"/>
    <mergeCell ref="G30:I30"/>
    <mergeCell ref="G31:I31"/>
    <mergeCell ref="G32:I32"/>
    <mergeCell ref="G33:I33"/>
    <mergeCell ref="G34:I34"/>
    <mergeCell ref="G35:I35"/>
    <mergeCell ref="G36:I36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F8:F9"/>
    <mergeCell ref="J8:K10"/>
    <mergeCell ref="G8:I9"/>
    <mergeCell ref="G10:I10"/>
    <mergeCell ref="G11:I11"/>
    <mergeCell ref="A8:A9"/>
    <mergeCell ref="B8:B9"/>
    <mergeCell ref="C8:C9"/>
    <mergeCell ref="D8:D9"/>
    <mergeCell ref="E8:E9"/>
  </mergeCells>
  <conditionalFormatting sqref="E11:E41">
    <cfRule type="containsText" dxfId="4" priority="15" operator="containsText" text="Sat">
      <formula>NOT(ISERROR(SEARCH("Sat",E11)))</formula>
    </cfRule>
    <cfRule type="containsText" dxfId="3" priority="14" operator="containsText" text="Sun">
      <formula>NOT(ISERROR(SEARCH("Sun",E11)))</formula>
    </cfRule>
  </conditionalFormatting>
  <conditionalFormatting sqref="A41:E41">
    <cfRule type="expression" dxfId="2" priority="13">
      <formula>$H$5&lt;&gt;$AA$41</formula>
    </cfRule>
  </conditionalFormatting>
  <conditionalFormatting sqref="A40:E40">
    <cfRule type="expression" dxfId="1" priority="12">
      <formula>$H$5&lt;&gt;$AA$40</formula>
    </cfRule>
  </conditionalFormatting>
  <conditionalFormatting sqref="A39:E39">
    <cfRule type="expression" dxfId="0" priority="11">
      <formula>$H$5&lt;&gt;$AA$39</formula>
    </cfRule>
  </conditionalFormatting>
  <dataValidations count="4">
    <dataValidation type="list" allowBlank="1" showErrorMessage="1" sqref="D11:D41" xr:uid="{00000000-0002-0000-0000-000000000000}">
      <formula1>"Normal,Off Day,Rest Day,Public Holiday"</formula1>
    </dataValidation>
    <dataValidation type="list" allowBlank="1" showErrorMessage="1" sqref="I5" xr:uid="{00000000-0002-0000-0000-000001000000}">
      <formula1>"2023,2024,2025,2026,2027,2028,2029,2030,2031,2032,2033,2034,2035,2036,2037,2038,2039,2040,2041,2042,2043,2044,2045,2046,2047,2048,2049,2050"</formula1>
    </dataValidation>
    <dataValidation type="list" allowBlank="1" showErrorMessage="1" sqref="H5" xr:uid="{00000000-0002-0000-0000-000002000000}">
      <formula1>"1, 2, 3, 4, 5, 6, 7, 8, 9, 10, 11, 12"</formula1>
    </dataValidation>
    <dataValidation type="list" allowBlank="1" showErrorMessage="1" sqref="K5" xr:uid="{00000000-0002-0000-0000-000003000000}">
      <formula1>"N1,N2,N3,E1,E2,E3,E4,M1,M2,M3"</formula1>
    </dataValidation>
  </dataValidations>
  <printOptions horizontalCentered="1"/>
  <pageMargins left="0" right="0" top="0.51181102362204722" bottom="0" header="0" footer="0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Z1000"/>
  <sheetViews>
    <sheetView workbookViewId="0">
      <selection activeCell="D3" sqref="D3"/>
    </sheetView>
  </sheetViews>
  <sheetFormatPr defaultColWidth="0" defaultRowHeight="15" customHeight="1" zeroHeight="1"/>
  <cols>
    <col min="1" max="1" width="11.7109375" customWidth="1"/>
    <col min="2" max="3" width="10.7109375" customWidth="1"/>
    <col min="4" max="4" width="12.42578125" customWidth="1"/>
    <col min="5" max="5" width="9.28515625" customWidth="1"/>
    <col min="6" max="7" width="12.7109375" customWidth="1"/>
    <col min="8" max="10" width="12.85546875" customWidth="1"/>
    <col min="11" max="11" width="9.5703125" customWidth="1"/>
    <col min="12" max="12" width="0.42578125" customWidth="1"/>
    <col min="13" max="21" width="9.140625" hidden="1" customWidth="1"/>
    <col min="22" max="26" width="8.7109375" hidden="1" customWidth="1"/>
    <col min="27" max="16384" width="14.42578125" hidden="1"/>
  </cols>
  <sheetData>
    <row r="1" spans="1:26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>
      <c r="A2" s="6"/>
      <c r="B2" s="4"/>
      <c r="C2" s="4"/>
      <c r="D2" s="4"/>
      <c r="E2" s="4"/>
      <c r="F2" s="4"/>
      <c r="G2" s="4"/>
      <c r="H2" s="4"/>
      <c r="I2" s="4"/>
      <c r="J2" s="4"/>
      <c r="K2" s="7" t="s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54" t="s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.75" customHeight="1">
      <c r="A5" s="10" t="s">
        <v>3</v>
      </c>
      <c r="B5" s="11"/>
      <c r="C5" s="12"/>
      <c r="D5" s="12"/>
      <c r="E5" s="12"/>
      <c r="F5" s="12"/>
      <c r="G5" s="13" t="s">
        <v>5</v>
      </c>
      <c r="H5" s="14"/>
      <c r="I5" s="64"/>
      <c r="J5" s="13" t="s">
        <v>6</v>
      </c>
      <c r="K5" s="6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.75" customHeight="1">
      <c r="A6" s="15" t="s">
        <v>8</v>
      </c>
      <c r="B6" s="16"/>
      <c r="C6" s="65"/>
      <c r="D6" s="17"/>
      <c r="E6" s="17"/>
      <c r="F6" s="17"/>
      <c r="G6" s="18" t="s">
        <v>10</v>
      </c>
      <c r="H6" s="19"/>
      <c r="I6" s="20"/>
      <c r="J6" s="20"/>
      <c r="K6" s="6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.75" customHeight="1">
      <c r="A8" s="66" t="s">
        <v>12</v>
      </c>
      <c r="B8" s="67" t="s">
        <v>13</v>
      </c>
      <c r="C8" s="68" t="s">
        <v>14</v>
      </c>
      <c r="D8" s="67" t="s">
        <v>15</v>
      </c>
      <c r="E8" s="69" t="s">
        <v>16</v>
      </c>
      <c r="F8" s="69" t="s">
        <v>17</v>
      </c>
      <c r="G8" s="70" t="s">
        <v>18</v>
      </c>
      <c r="H8" s="76"/>
      <c r="I8" s="77"/>
      <c r="J8" s="70" t="s">
        <v>19</v>
      </c>
      <c r="K8" s="7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79"/>
      <c r="B9" s="80"/>
      <c r="C9" s="80"/>
      <c r="D9" s="80"/>
      <c r="E9" s="81"/>
      <c r="F9" s="81"/>
      <c r="G9" s="82"/>
      <c r="H9" s="83"/>
      <c r="I9" s="81"/>
      <c r="J9" s="84"/>
      <c r="K9" s="8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0.5" customHeight="1">
      <c r="A10" s="21"/>
      <c r="B10" s="22" t="s">
        <v>21</v>
      </c>
      <c r="C10" s="22" t="s">
        <v>21</v>
      </c>
      <c r="D10" s="22" t="s">
        <v>42</v>
      </c>
      <c r="E10" s="22"/>
      <c r="F10" s="22"/>
      <c r="G10" s="71" t="s">
        <v>23</v>
      </c>
      <c r="H10" s="86"/>
      <c r="I10" s="87"/>
      <c r="J10" s="82"/>
      <c r="K10" s="8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.75" customHeight="1">
      <c r="A11" s="41">
        <v>1</v>
      </c>
      <c r="B11" s="26"/>
      <c r="C11" s="26"/>
      <c r="D11" s="27"/>
      <c r="E11" s="23"/>
      <c r="F11" s="23"/>
      <c r="G11" s="75"/>
      <c r="H11" s="86"/>
      <c r="I11" s="87"/>
      <c r="J11" s="25"/>
      <c r="K11" s="5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.75" customHeight="1">
      <c r="A12" s="41">
        <v>2</v>
      </c>
      <c r="B12" s="26"/>
      <c r="C12" s="26"/>
      <c r="D12" s="27"/>
      <c r="E12" s="23"/>
      <c r="F12" s="23"/>
      <c r="G12" s="75"/>
      <c r="H12" s="86"/>
      <c r="I12" s="87"/>
      <c r="J12" s="25"/>
      <c r="K12" s="5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4.75" customHeight="1">
      <c r="A13" s="41">
        <v>3</v>
      </c>
      <c r="B13" s="26"/>
      <c r="C13" s="26"/>
      <c r="D13" s="27"/>
      <c r="E13" s="23"/>
      <c r="F13" s="23"/>
      <c r="G13" s="75"/>
      <c r="H13" s="86"/>
      <c r="I13" s="87"/>
      <c r="J13" s="25"/>
      <c r="K13" s="5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.75" customHeight="1">
      <c r="A14" s="41">
        <v>4</v>
      </c>
      <c r="B14" s="29"/>
      <c r="C14" s="26"/>
      <c r="D14" s="27"/>
      <c r="E14" s="23"/>
      <c r="F14" s="23"/>
      <c r="G14" s="75"/>
      <c r="H14" s="86"/>
      <c r="I14" s="87"/>
      <c r="J14" s="25"/>
      <c r="K14" s="5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.75" customHeight="1">
      <c r="A15" s="41">
        <v>5</v>
      </c>
      <c r="B15" s="29"/>
      <c r="C15" s="26"/>
      <c r="D15" s="27"/>
      <c r="E15" s="23"/>
      <c r="F15" s="23"/>
      <c r="G15" s="75"/>
      <c r="H15" s="86"/>
      <c r="I15" s="87"/>
      <c r="J15" s="25"/>
      <c r="K15" s="5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.75" customHeight="1">
      <c r="A16" s="41">
        <v>6</v>
      </c>
      <c r="B16" s="29"/>
      <c r="C16" s="26"/>
      <c r="D16" s="27"/>
      <c r="E16" s="23"/>
      <c r="F16" s="23"/>
      <c r="G16" s="75"/>
      <c r="H16" s="86"/>
      <c r="I16" s="87"/>
      <c r="J16" s="25"/>
      <c r="K16" s="5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.75" customHeight="1">
      <c r="A17" s="41">
        <v>7</v>
      </c>
      <c r="B17" s="29"/>
      <c r="C17" s="26"/>
      <c r="D17" s="27"/>
      <c r="E17" s="23"/>
      <c r="F17" s="23"/>
      <c r="G17" s="75"/>
      <c r="H17" s="86"/>
      <c r="I17" s="87"/>
      <c r="J17" s="25"/>
      <c r="K17" s="5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.75" customHeight="1">
      <c r="A18" s="41">
        <v>8</v>
      </c>
      <c r="B18" s="29"/>
      <c r="C18" s="26"/>
      <c r="D18" s="27"/>
      <c r="E18" s="23"/>
      <c r="F18" s="23"/>
      <c r="G18" s="75"/>
      <c r="H18" s="86"/>
      <c r="I18" s="87"/>
      <c r="J18" s="25"/>
      <c r="K18" s="5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.75" customHeight="1">
      <c r="A19" s="41">
        <v>9</v>
      </c>
      <c r="B19" s="29"/>
      <c r="C19" s="26"/>
      <c r="D19" s="27"/>
      <c r="E19" s="23"/>
      <c r="F19" s="23"/>
      <c r="G19" s="75"/>
      <c r="H19" s="86"/>
      <c r="I19" s="87"/>
      <c r="J19" s="25"/>
      <c r="K19" s="5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4.75" customHeight="1">
      <c r="A20" s="41">
        <v>10</v>
      </c>
      <c r="B20" s="29"/>
      <c r="C20" s="26"/>
      <c r="D20" s="27"/>
      <c r="E20" s="23"/>
      <c r="F20" s="23"/>
      <c r="G20" s="75"/>
      <c r="H20" s="86"/>
      <c r="I20" s="87"/>
      <c r="J20" s="25"/>
      <c r="K20" s="5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.75" customHeight="1">
      <c r="A21" s="41">
        <v>11</v>
      </c>
      <c r="B21" s="29"/>
      <c r="C21" s="26"/>
      <c r="D21" s="27"/>
      <c r="E21" s="23"/>
      <c r="F21" s="23"/>
      <c r="G21" s="75"/>
      <c r="H21" s="86"/>
      <c r="I21" s="87"/>
      <c r="J21" s="25"/>
      <c r="K21" s="5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4.75" customHeight="1">
      <c r="A22" s="41">
        <v>12</v>
      </c>
      <c r="B22" s="29"/>
      <c r="C22" s="26"/>
      <c r="D22" s="27"/>
      <c r="E22" s="23"/>
      <c r="F22" s="23"/>
      <c r="G22" s="75"/>
      <c r="H22" s="86"/>
      <c r="I22" s="87"/>
      <c r="J22" s="25"/>
      <c r="K22" s="5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.75" customHeight="1">
      <c r="A23" s="41">
        <v>13</v>
      </c>
      <c r="B23" s="29"/>
      <c r="C23" s="26"/>
      <c r="D23" s="27"/>
      <c r="E23" s="23"/>
      <c r="F23" s="23"/>
      <c r="G23" s="75"/>
      <c r="H23" s="86"/>
      <c r="I23" s="87"/>
      <c r="J23" s="25"/>
      <c r="K23" s="5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.75" customHeight="1">
      <c r="A24" s="41">
        <v>14</v>
      </c>
      <c r="B24" s="29"/>
      <c r="C24" s="26"/>
      <c r="D24" s="27"/>
      <c r="E24" s="23"/>
      <c r="F24" s="23"/>
      <c r="G24" s="75"/>
      <c r="H24" s="86"/>
      <c r="I24" s="87"/>
      <c r="J24" s="25"/>
      <c r="K24" s="5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4.75" customHeight="1">
      <c r="A25" s="41">
        <v>15</v>
      </c>
      <c r="B25" s="29"/>
      <c r="C25" s="26"/>
      <c r="D25" s="27"/>
      <c r="E25" s="23"/>
      <c r="F25" s="23"/>
      <c r="G25" s="75"/>
      <c r="H25" s="86"/>
      <c r="I25" s="87"/>
      <c r="J25" s="25"/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.75" customHeight="1">
      <c r="A26" s="41">
        <v>16</v>
      </c>
      <c r="B26" s="29"/>
      <c r="C26" s="26"/>
      <c r="D26" s="27"/>
      <c r="E26" s="23"/>
      <c r="F26" s="23"/>
      <c r="G26" s="75"/>
      <c r="H26" s="86"/>
      <c r="I26" s="87"/>
      <c r="J26" s="25"/>
      <c r="K26" s="5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4.75" customHeight="1">
      <c r="A27" s="41">
        <v>17</v>
      </c>
      <c r="B27" s="29"/>
      <c r="C27" s="26"/>
      <c r="D27" s="27"/>
      <c r="E27" s="23"/>
      <c r="F27" s="23"/>
      <c r="G27" s="75"/>
      <c r="H27" s="86"/>
      <c r="I27" s="87"/>
      <c r="J27" s="25"/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.75" customHeight="1">
      <c r="A28" s="41">
        <v>18</v>
      </c>
      <c r="B28" s="29"/>
      <c r="C28" s="26"/>
      <c r="D28" s="27"/>
      <c r="E28" s="23"/>
      <c r="F28" s="23"/>
      <c r="G28" s="75"/>
      <c r="H28" s="86"/>
      <c r="I28" s="87"/>
      <c r="J28" s="25"/>
      <c r="K28" s="5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4.75" customHeight="1">
      <c r="A29" s="41">
        <v>19</v>
      </c>
      <c r="B29" s="29"/>
      <c r="C29" s="26"/>
      <c r="D29" s="27"/>
      <c r="E29" s="23"/>
      <c r="F29" s="23"/>
      <c r="G29" s="75"/>
      <c r="H29" s="86"/>
      <c r="I29" s="87"/>
      <c r="J29" s="25"/>
      <c r="K29" s="5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.75" customHeight="1">
      <c r="A30" s="41">
        <v>20</v>
      </c>
      <c r="B30" s="29"/>
      <c r="C30" s="26"/>
      <c r="D30" s="27"/>
      <c r="E30" s="23"/>
      <c r="F30" s="23"/>
      <c r="G30" s="75"/>
      <c r="H30" s="86"/>
      <c r="I30" s="87"/>
      <c r="J30" s="24"/>
      <c r="K30" s="5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4.75" customHeight="1">
      <c r="A31" s="41">
        <v>21</v>
      </c>
      <c r="B31" s="29"/>
      <c r="C31" s="26"/>
      <c r="D31" s="27"/>
      <c r="E31" s="23"/>
      <c r="F31" s="23"/>
      <c r="G31" s="75"/>
      <c r="H31" s="86"/>
      <c r="I31" s="87"/>
      <c r="J31" s="24"/>
      <c r="K31" s="5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.75" customHeight="1">
      <c r="A32" s="41">
        <v>22</v>
      </c>
      <c r="B32" s="29"/>
      <c r="C32" s="26"/>
      <c r="D32" s="27"/>
      <c r="E32" s="23"/>
      <c r="F32" s="23"/>
      <c r="G32" s="75"/>
      <c r="H32" s="86"/>
      <c r="I32" s="87"/>
      <c r="J32" s="24"/>
      <c r="K32" s="5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.75" customHeight="1">
      <c r="A33" s="41">
        <v>23</v>
      </c>
      <c r="B33" s="29"/>
      <c r="C33" s="26"/>
      <c r="D33" s="27"/>
      <c r="E33" s="23"/>
      <c r="F33" s="23"/>
      <c r="G33" s="75"/>
      <c r="H33" s="86"/>
      <c r="I33" s="87"/>
      <c r="J33" s="24"/>
      <c r="K33" s="5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.75" customHeight="1">
      <c r="A34" s="41">
        <v>24</v>
      </c>
      <c r="B34" s="29"/>
      <c r="C34" s="26"/>
      <c r="D34" s="27"/>
      <c r="E34" s="23"/>
      <c r="F34" s="23"/>
      <c r="G34" s="75"/>
      <c r="H34" s="86"/>
      <c r="I34" s="87"/>
      <c r="J34" s="24"/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.75" customHeight="1">
      <c r="A35" s="41">
        <v>25</v>
      </c>
      <c r="B35" s="29"/>
      <c r="C35" s="26"/>
      <c r="D35" s="27"/>
      <c r="E35" s="23"/>
      <c r="F35" s="23"/>
      <c r="G35" s="75"/>
      <c r="H35" s="86"/>
      <c r="I35" s="87"/>
      <c r="J35" s="24"/>
      <c r="K35" s="5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.75" customHeight="1">
      <c r="A36" s="41">
        <v>26</v>
      </c>
      <c r="B36" s="29"/>
      <c r="C36" s="26"/>
      <c r="D36" s="27"/>
      <c r="E36" s="23"/>
      <c r="F36" s="23"/>
      <c r="G36" s="75"/>
      <c r="H36" s="86"/>
      <c r="I36" s="87"/>
      <c r="J36" s="24"/>
      <c r="K36" s="5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.75" customHeight="1">
      <c r="A37" s="41">
        <v>27</v>
      </c>
      <c r="B37" s="29"/>
      <c r="C37" s="26"/>
      <c r="D37" s="27"/>
      <c r="E37" s="23"/>
      <c r="F37" s="23"/>
      <c r="G37" s="75"/>
      <c r="H37" s="86"/>
      <c r="I37" s="87"/>
      <c r="J37" s="24"/>
      <c r="K37" s="5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.75" customHeight="1">
      <c r="A38" s="41">
        <v>28</v>
      </c>
      <c r="B38" s="29"/>
      <c r="C38" s="26"/>
      <c r="D38" s="27"/>
      <c r="E38" s="23"/>
      <c r="F38" s="23"/>
      <c r="G38" s="75"/>
      <c r="H38" s="86"/>
      <c r="I38" s="87"/>
      <c r="J38" s="24"/>
      <c r="K38" s="5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.75" customHeight="1">
      <c r="A39" s="41">
        <v>29</v>
      </c>
      <c r="B39" s="29"/>
      <c r="C39" s="26"/>
      <c r="D39" s="27"/>
      <c r="E39" s="23"/>
      <c r="F39" s="23"/>
      <c r="G39" s="75"/>
      <c r="H39" s="86"/>
      <c r="I39" s="87"/>
      <c r="J39" s="24"/>
      <c r="K39" s="5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.75" customHeight="1">
      <c r="A40" s="41">
        <v>30</v>
      </c>
      <c r="B40" s="29"/>
      <c r="C40" s="26"/>
      <c r="D40" s="27"/>
      <c r="E40" s="23"/>
      <c r="F40" s="23"/>
      <c r="G40" s="75"/>
      <c r="H40" s="86"/>
      <c r="I40" s="87"/>
      <c r="J40" s="24"/>
      <c r="K40" s="5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.75" customHeight="1">
      <c r="A41" s="41">
        <v>31</v>
      </c>
      <c r="B41" s="29"/>
      <c r="C41" s="26"/>
      <c r="D41" s="27"/>
      <c r="E41" s="23"/>
      <c r="F41" s="23"/>
      <c r="G41" s="75"/>
      <c r="H41" s="86"/>
      <c r="I41" s="87"/>
      <c r="J41" s="25"/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.75" customHeight="1">
      <c r="A42" s="30"/>
      <c r="B42" s="31"/>
      <c r="C42" s="31"/>
      <c r="D42" s="32" t="s">
        <v>27</v>
      </c>
      <c r="E42" s="33"/>
      <c r="F42" s="33"/>
      <c r="G42" s="73"/>
      <c r="H42" s="91"/>
      <c r="I42" s="92"/>
      <c r="J42" s="74"/>
      <c r="K42" s="9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9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34" t="s">
        <v>29</v>
      </c>
      <c r="B44" s="34" t="s">
        <v>30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>
      <c r="A45" s="34"/>
      <c r="B45" s="34" t="s">
        <v>31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>
      <c r="A46" s="34"/>
      <c r="B46" s="34" t="s">
        <v>32</v>
      </c>
      <c r="C46" s="34"/>
      <c r="D46" s="34"/>
      <c r="E46" s="34"/>
      <c r="F46" s="35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>
      <c r="A47" s="34"/>
      <c r="B47" s="34" t="s">
        <v>33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36" t="s">
        <v>34</v>
      </c>
      <c r="B49" s="36"/>
      <c r="C49" s="5"/>
      <c r="D49" s="36" t="s">
        <v>35</v>
      </c>
      <c r="E49" s="5"/>
      <c r="F49" s="5"/>
      <c r="G49" s="36" t="s">
        <v>36</v>
      </c>
      <c r="H49" s="36"/>
      <c r="I49" s="5"/>
      <c r="J49" s="36" t="s">
        <v>37</v>
      </c>
      <c r="K49" s="3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36"/>
      <c r="B50" s="36"/>
      <c r="C50" s="5"/>
      <c r="D50" s="36"/>
      <c r="E50" s="5"/>
      <c r="F50" s="5"/>
      <c r="G50" s="36"/>
      <c r="H50" s="36"/>
      <c r="I50" s="5"/>
      <c r="J50" s="36"/>
      <c r="K50" s="3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36"/>
      <c r="B51" s="36"/>
      <c r="C51" s="5"/>
      <c r="D51" s="36"/>
      <c r="E51" s="5"/>
      <c r="F51" s="5"/>
      <c r="G51" s="36"/>
      <c r="H51" s="36"/>
      <c r="I51" s="5"/>
      <c r="J51" s="36"/>
      <c r="K51" s="3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37"/>
      <c r="B52" s="37"/>
      <c r="C52" s="5"/>
      <c r="D52" s="37"/>
      <c r="E52" s="37"/>
      <c r="F52" s="5"/>
      <c r="G52" s="37"/>
      <c r="H52" s="37"/>
      <c r="I52" s="5"/>
      <c r="J52" s="37"/>
      <c r="K52" s="3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 t="s">
        <v>38</v>
      </c>
      <c r="B53" s="5"/>
      <c r="C53" s="5"/>
      <c r="D53" s="5" t="s">
        <v>38</v>
      </c>
      <c r="E53" s="5"/>
      <c r="F53" s="5"/>
      <c r="G53" s="5" t="s">
        <v>38</v>
      </c>
      <c r="H53" s="5"/>
      <c r="I53" s="5"/>
      <c r="J53" s="5" t="s">
        <v>40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 t="s">
        <v>41</v>
      </c>
      <c r="B54" s="5"/>
      <c r="C54" s="5"/>
      <c r="D54" s="5" t="s">
        <v>41</v>
      </c>
      <c r="E54" s="5"/>
      <c r="F54" s="5"/>
      <c r="G54" s="5" t="s">
        <v>41</v>
      </c>
      <c r="H54" s="5"/>
      <c r="I54" s="5"/>
      <c r="J54" s="5" t="s">
        <v>41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hidden="1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38"/>
      <c r="Q55" s="38"/>
      <c r="R55" s="38"/>
      <c r="S55" s="38"/>
      <c r="T55" s="38"/>
      <c r="U55" s="38"/>
      <c r="V55" s="5"/>
      <c r="W55" s="5"/>
      <c r="X55" s="5"/>
      <c r="Y55" s="5"/>
      <c r="Z55" s="5"/>
    </row>
    <row r="56" spans="1:26" ht="12.75" hidden="1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hidden="1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hidden="1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hidden="1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hidden="1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hidden="1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hidden="1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hidden="1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hidden="1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hidden="1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hidden="1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hidden="1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hidden="1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hidden="1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hidden="1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hidden="1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hidden="1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hidden="1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hidden="1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hidden="1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hidden="1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hidden="1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hidden="1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hidden="1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hidden="1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hidden="1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hidden="1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hidden="1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hidden="1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hidden="1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hidden="1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hidden="1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hidden="1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hidden="1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hidden="1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hidden="1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hidden="1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hidden="1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hidden="1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hidden="1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hidden="1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hidden="1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hidden="1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hidden="1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hidden="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hidden="1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hidden="1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hidden="1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hidden="1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hidden="1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hidden="1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hidden="1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hidden="1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hidden="1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hidden="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hidden="1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hidden="1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hidden="1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hidden="1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hidden="1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hidden="1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hidden="1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hidden="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hidden="1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hidden="1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hidden="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hidden="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hidden="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hidden="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hidden="1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hidden="1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hidden="1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hidden="1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hidden="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hidden="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hidden="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hidden="1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hidden="1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hidden="1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hidden="1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hidden="1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hidden="1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hidden="1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hidden="1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hidden="1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hidden="1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hidden="1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hidden="1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hidden="1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hidden="1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hidden="1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hidden="1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hidden="1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hidden="1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hidden="1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hidden="1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hidden="1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hidden="1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hidden="1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hidden="1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hidden="1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hidden="1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hidden="1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hidden="1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hidden="1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hidden="1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hidden="1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hidden="1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hidden="1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hidden="1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hidden="1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hidden="1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hidden="1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hidden="1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hidden="1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hidden="1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hidden="1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hidden="1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hidden="1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hidden="1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hidden="1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hidden="1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hidden="1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hidden="1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hidden="1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hidden="1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hidden="1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hidden="1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hidden="1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hidden="1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hidden="1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hidden="1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hidden="1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hidden="1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hidden="1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hidden="1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hidden="1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hidden="1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hidden="1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hidden="1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hidden="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hidden="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hidden="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hidden="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hidden="1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hidden="1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hidden="1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hidden="1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hidden="1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hidden="1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hidden="1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hidden="1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hidden="1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hidden="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hidden="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hidden="1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hidden="1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hidden="1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hidden="1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hidden="1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hidden="1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hidden="1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hidden="1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hidden="1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hidden="1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hidden="1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hidden="1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hidden="1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hidden="1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hidden="1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hidden="1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hidden="1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hidden="1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hidden="1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hidden="1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hidden="1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hidden="1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hidden="1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hidden="1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hidden="1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hidden="1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hidden="1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hidden="1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hidden="1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hidden="1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hidden="1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hidden="1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hidden="1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hidden="1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hidden="1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hidden="1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hidden="1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hidden="1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hidden="1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hidden="1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hidden="1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hidden="1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hidden="1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hidden="1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hidden="1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hidden="1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hidden="1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hidden="1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hidden="1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hidden="1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hidden="1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hidden="1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hidden="1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hidden="1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hidden="1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hidden="1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hidden="1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hidden="1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hidden="1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hidden="1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hidden="1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hidden="1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hidden="1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hidden="1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hidden="1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hidden="1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hidden="1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hidden="1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hidden="1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hidden="1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hidden="1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hidden="1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hidden="1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hidden="1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hidden="1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hidden="1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hidden="1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hidden="1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hidden="1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hidden="1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hidden="1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hidden="1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hidden="1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hidden="1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hidden="1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hidden="1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hidden="1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hidden="1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hidden="1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hidden="1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hidden="1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hidden="1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hidden="1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hidden="1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hidden="1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hidden="1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hidden="1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hidden="1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hidden="1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hidden="1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hidden="1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hidden="1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hidden="1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hidden="1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hidden="1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hidden="1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hidden="1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hidden="1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hidden="1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hidden="1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hidden="1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hidden="1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hidden="1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hidden="1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hidden="1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hidden="1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hidden="1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hidden="1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hidden="1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hidden="1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hidden="1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hidden="1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hidden="1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hidden="1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hidden="1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hidden="1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hidden="1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hidden="1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hidden="1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hidden="1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hidden="1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hidden="1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hidden="1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hidden="1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hidden="1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hidden="1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hidden="1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hidden="1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hidden="1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hidden="1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hidden="1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hidden="1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hidden="1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hidden="1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hidden="1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hidden="1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hidden="1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hidden="1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hidden="1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hidden="1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hidden="1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hidden="1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hidden="1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hidden="1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hidden="1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hidden="1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hidden="1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hidden="1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hidden="1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hidden="1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hidden="1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hidden="1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hidden="1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hidden="1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hidden="1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hidden="1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hidden="1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hidden="1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hidden="1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hidden="1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hidden="1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hidden="1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hidden="1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hidden="1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hidden="1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hidden="1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hidden="1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hidden="1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hidden="1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hidden="1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hidden="1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hidden="1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hidden="1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hidden="1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hidden="1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hidden="1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hidden="1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hidden="1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hidden="1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hidden="1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hidden="1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hidden="1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hidden="1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hidden="1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hidden="1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hidden="1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hidden="1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hidden="1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hidden="1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hidden="1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hidden="1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hidden="1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hidden="1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hidden="1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hidden="1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hidden="1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hidden="1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hidden="1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hidden="1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hidden="1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hidden="1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hidden="1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hidden="1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hidden="1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hidden="1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hidden="1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hidden="1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hidden="1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hidden="1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hidden="1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hidden="1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hidden="1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hidden="1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hidden="1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hidden="1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hidden="1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hidden="1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hidden="1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hidden="1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hidden="1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hidden="1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hidden="1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hidden="1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hidden="1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hidden="1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hidden="1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hidden="1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hidden="1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hidden="1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hidden="1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hidden="1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hidden="1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hidden="1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hidden="1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hidden="1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hidden="1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hidden="1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hidden="1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hidden="1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hidden="1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hidden="1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hidden="1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hidden="1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hidden="1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hidden="1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hidden="1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hidden="1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hidden="1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hidden="1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hidden="1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hidden="1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hidden="1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hidden="1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hidden="1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hidden="1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hidden="1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hidden="1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hidden="1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hidden="1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hidden="1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hidden="1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hidden="1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hidden="1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hidden="1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hidden="1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hidden="1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hidden="1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hidden="1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hidden="1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hidden="1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hidden="1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hidden="1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hidden="1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hidden="1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hidden="1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hidden="1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hidden="1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hidden="1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hidden="1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hidden="1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hidden="1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hidden="1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hidden="1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hidden="1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hidden="1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hidden="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hidden="1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hidden="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hidden="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hidden="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hidden="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hidden="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hidden="1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hidden="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hidden="1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hidden="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hidden="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hidden="1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hidden="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hidden="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hidden="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hidden="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hidden="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hidden="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hidden="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hidden="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hidden="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hidden="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hidden="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hidden="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hidden="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hidden="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hidden="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hidden="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hidden="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hidden="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hidden="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hidden="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hidden="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hidden="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hidden="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hidden="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hidden="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hidden="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hidden="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hidden="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hidden="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hidden="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hidden="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hidden="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hidden="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hidden="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hidden="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hidden="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hidden="1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hidden="1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hidden="1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hidden="1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hidden="1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hidden="1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hidden="1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hidden="1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hidden="1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hidden="1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hidden="1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hidden="1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hidden="1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hidden="1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hidden="1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hidden="1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hidden="1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hidden="1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hidden="1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hidden="1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hidden="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hidden="1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hidden="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hidden="1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hidden="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hidden="1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hidden="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hidden="1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hidden="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hidden="1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hidden="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hidden="1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hidden="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hidden="1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hidden="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hidden="1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hidden="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hidden="1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hidden="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hidden="1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hidden="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hidden="1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hidden="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hidden="1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hidden="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hidden="1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hidden="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hidden="1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hidden="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hidden="1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hidden="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hidden="1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hidden="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hidden="1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hidden="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hidden="1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hidden="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hidden="1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hidden="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hidden="1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hidden="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hidden="1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hidden="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hidden="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hidden="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hidden="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hidden="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hidden="1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hidden="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hidden="1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hidden="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hidden="1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hidden="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hidden="1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hidden="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hidden="1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hidden="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hidden="1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hidden="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hidden="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hidden="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hidden="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hidden="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hidden="1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hidden="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hidden="1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hidden="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hidden="1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hidden="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hidden="1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hidden="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hidden="1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hidden="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hidden="1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hidden="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hidden="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hidden="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hidden="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hidden="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hidden="1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hidden="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hidden="1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hidden="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hidden="1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hidden="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hidden="1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hidden="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hidden="1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hidden="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hidden="1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hidden="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hidden="1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hidden="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hidden="1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hidden="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hidden="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hidden="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hidden="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hidden="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hidden="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hidden="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hidden="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hidden="1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hidden="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hidden="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hidden="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hidden="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hidden="1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hidden="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hidden="1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hidden="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hidden="1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hidden="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hidden="1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hidden="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hidden="1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hidden="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hidden="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hidden="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hidden="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hidden="1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hidden="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hidden="1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hidden="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hidden="1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hidden="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hidden="1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hidden="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hidden="1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hidden="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hidden="1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hidden="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hidden="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hidden="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hidden="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hidden="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hidden="1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hidden="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hidden="1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hidden="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hidden="1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hidden="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hidden="1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hidden="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hidden="1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hidden="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hidden="1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hidden="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hidden="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hidden="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hidden="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hidden="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hidden="1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hidden="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hidden="1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hidden="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hidden="1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hidden="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hidden="1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hidden="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hidden="1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hidden="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hidden="1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hidden="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hidden="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hidden="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hidden="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hidden="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hidden="1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hidden="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hidden="1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hidden="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hidden="1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hidden="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hidden="1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hidden="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hidden="1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hidden="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hidden="1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hidden="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hidden="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hidden="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hidden="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hidden="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hidden="1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hidden="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hidden="1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hidden="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hidden="1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hidden="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hidden="1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hidden="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hidden="1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hidden="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hidden="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hidden="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hidden="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hidden="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hidden="1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hidden="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hidden="1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hidden="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hidden="1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hidden="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hidden="1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hidden="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hidden="1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hidden="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hidden="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hidden="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hidden="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hidden="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hidden="1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hidden="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hidden="1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hidden="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hidden="1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hidden="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hidden="1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hidden="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hidden="1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hidden="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hidden="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hidden="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hidden="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hidden="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hidden="1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hidden="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hidden="1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hidden="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hidden="1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hidden="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hidden="1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hidden="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hidden="1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hidden="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hidden="1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hidden="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hidden="1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hidden="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hidden="1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hidden="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hidden="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hidden="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hidden="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hidden="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hidden="1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hidden="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hidden="1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hidden="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hidden="1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hidden="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hidden="1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hidden="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hidden="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hidden="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hidden="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hidden="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hidden="1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hidden="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hidden="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hidden="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hidden="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hidden="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hidden="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hidden="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hidden="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hidden="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hidden="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hidden="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hidden="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hidden="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hidden="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hidden="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hidden="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hidden="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hidden="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hidden="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hidden="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hidden="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hidden="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hidden="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hidden="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hidden="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hidden="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hidden="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hidden="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hidden="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hidden="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hidden="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hidden="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hidden="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hidden="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hidden="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hidden="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hidden="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hidden="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hidden="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hidden="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hidden="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hidden="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hidden="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hidden="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hidden="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hidden="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hidden="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hidden="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hidden="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hidden="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hidden="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hidden="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hidden="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hidden="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hidden="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hidden="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hidden="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hidden="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hidden="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hidden="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hidden="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hidden="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hidden="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hidden="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hidden="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hidden="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hidden="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hidden="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hidden="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hidden="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hidden="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hidden="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hidden="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hidden="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hidden="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hidden="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hidden="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hidden="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hidden="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hidden="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hidden="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hidden="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hidden="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hidden="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hidden="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hidden="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hidden="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hidden="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hidden="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hidden="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hidden="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hidden="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hidden="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hidden="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hidden="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hidden="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hidden="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hidden="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hidden="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hidden="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hidden="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hidden="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hidden="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hidden="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hidden="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hidden="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hidden="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hidden="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hidden="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hidden="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hidden="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hidden="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hidden="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hidden="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hidden="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hidden="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hidden="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hidden="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hidden="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hidden="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hidden="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hidden="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hidden="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hidden="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hidden="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hidden="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hidden="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hidden="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hidden="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hidden="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hidden="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hidden="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hidden="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hidden="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hidden="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hidden="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hidden="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hidden="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hidden="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hidden="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hidden="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hidden="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hidden="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hidden="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hidden="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hidden="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hidden="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hidden="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hidden="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hidden="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hidden="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hidden="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hidden="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hidden="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hidden="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hidden="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hidden="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hidden="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hidden="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hidden="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hidden="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hidden="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hidden="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hidden="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hidden="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hidden="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hidden="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sheetProtection algorithmName="SHA-512" hashValue="Ji13ShnbMipLa1SNY3ygP4arb2lY28Rg2NOnKgvLc1aMUKMckLdHWwwzu/Mmt1d7kmslnN4Glk+W03+pAtRVfA==" saltValue="GmK9yIqxT4hxeZdYlxp4aA==" spinCount="100000" sheet="1" objects="1" scenarios="1"/>
  <mergeCells count="42">
    <mergeCell ref="G39:I39"/>
    <mergeCell ref="G40:I40"/>
    <mergeCell ref="G41:I41"/>
    <mergeCell ref="G42:I42"/>
    <mergeCell ref="J42:K42"/>
    <mergeCell ref="G27:I27"/>
    <mergeCell ref="G28:I28"/>
    <mergeCell ref="G29:I29"/>
    <mergeCell ref="G37:I37"/>
    <mergeCell ref="G38:I38"/>
    <mergeCell ref="G30:I30"/>
    <mergeCell ref="G31:I31"/>
    <mergeCell ref="G32:I32"/>
    <mergeCell ref="G33:I33"/>
    <mergeCell ref="G34:I34"/>
    <mergeCell ref="G35:I35"/>
    <mergeCell ref="G36:I36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F8:F9"/>
    <mergeCell ref="J8:K10"/>
    <mergeCell ref="G8:I9"/>
    <mergeCell ref="G10:I10"/>
    <mergeCell ref="G11:I11"/>
    <mergeCell ref="A8:A9"/>
    <mergeCell ref="B8:B9"/>
    <mergeCell ref="C8:C9"/>
    <mergeCell ref="D8:D9"/>
    <mergeCell ref="E8:E9"/>
  </mergeCells>
  <printOptions horizontalCentered="1"/>
  <pageMargins left="0" right="0" top="0.51181102362204722" bottom="0" header="0" footer="0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1"/>
  <sheetViews>
    <sheetView workbookViewId="0">
      <selection activeCell="B26" sqref="B26"/>
    </sheetView>
  </sheetViews>
  <sheetFormatPr defaultColWidth="14.42578125" defaultRowHeight="15" customHeight="1"/>
  <cols>
    <col min="1" max="26" width="8.7109375" customWidth="1"/>
  </cols>
  <sheetData>
    <row r="1" spans="1:1">
      <c r="A1" s="39" t="s">
        <v>43</v>
      </c>
    </row>
    <row r="3" spans="1:1">
      <c r="A3" s="39" t="s">
        <v>15</v>
      </c>
    </row>
    <row r="4" spans="1:1">
      <c r="A4" s="39" t="s">
        <v>44</v>
      </c>
    </row>
    <row r="6" spans="1:1">
      <c r="A6" s="39" t="s">
        <v>45</v>
      </c>
    </row>
    <row r="7" spans="1:1">
      <c r="A7" s="39" t="s">
        <v>46</v>
      </c>
    </row>
    <row r="8" spans="1:1" ht="15" customHeight="1">
      <c r="A8" s="39" t="s">
        <v>47</v>
      </c>
    </row>
    <row r="9" spans="1:1" ht="15" customHeight="1">
      <c r="A9" s="39"/>
    </row>
    <row r="10" spans="1:1">
      <c r="A10" s="39" t="s">
        <v>48</v>
      </c>
    </row>
    <row r="11" spans="1:1">
      <c r="A11" s="39" t="s">
        <v>49</v>
      </c>
    </row>
    <row r="13" spans="1:1">
      <c r="A13" s="39" t="s">
        <v>6</v>
      </c>
    </row>
    <row r="14" spans="1:1">
      <c r="A14" s="39" t="s">
        <v>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Alauddin Al-Hafiz Bin Abdul Halim</dc:creator>
  <cp:keywords/>
  <dc:description/>
  <cp:lastModifiedBy/>
  <cp:revision/>
  <dcterms:created xsi:type="dcterms:W3CDTF">2023-03-22T09:02:10Z</dcterms:created>
  <dcterms:modified xsi:type="dcterms:W3CDTF">2025-12-03T03:54:09Z</dcterms:modified>
  <cp:category/>
  <cp:contentStatus/>
</cp:coreProperties>
</file>